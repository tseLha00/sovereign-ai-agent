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anodunkhartsang/projects/sovereign-ai-agent/docs/planning/"/>
    </mc:Choice>
  </mc:AlternateContent>
  <xr:revisionPtr revIDLastSave="0" documentId="13_ncr:1_{7BA9CB16-59E5-EB48-A3AF-C5FD56C38169}" xr6:coauthVersionLast="47" xr6:coauthVersionMax="47" xr10:uidLastSave="{00000000-0000-0000-0000-000000000000}"/>
  <bookViews>
    <workbookView xWindow="68800" yWindow="9820" windowWidth="30240" windowHeight="17580" xr2:uid="{AB7B3E1D-6C2A-9542-8379-0F3DD31EEDCF}"/>
  </bookViews>
  <sheets>
    <sheet name="Timeplan" sheetId="1" r:id="rId1"/>
    <sheet name="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7" i="1"/>
  <c r="D18" i="1"/>
  <c r="D13" i="1"/>
  <c r="D14" i="1"/>
  <c r="D10" i="1"/>
  <c r="D11" i="1"/>
  <c r="D12" i="1"/>
  <c r="AC47" i="1"/>
  <c r="AK47" i="1"/>
  <c r="U47" i="1"/>
  <c r="AK48" i="1"/>
  <c r="AC48" i="1"/>
  <c r="E48" i="1"/>
  <c r="U48" i="1"/>
  <c r="E47" i="1"/>
  <c r="D5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15" i="1"/>
  <c r="D16" i="1"/>
  <c r="D7" i="1"/>
  <c r="D6" i="1"/>
  <c r="D8" i="1"/>
  <c r="D47" i="1" l="1"/>
  <c r="D48" i="1"/>
</calcChain>
</file>

<file path=xl/sharedStrings.xml><?xml version="1.0" encoding="utf-8"?>
<sst xmlns="http://schemas.openxmlformats.org/spreadsheetml/2006/main" count="183" uniqueCount="67">
  <si>
    <t>OOO</t>
  </si>
  <si>
    <t>Task</t>
  </si>
  <si>
    <t>Is</t>
  </si>
  <si>
    <t>Hours</t>
  </si>
  <si>
    <t>13/02/2026</t>
  </si>
  <si>
    <t>17/02/2026</t>
  </si>
  <si>
    <t>14. - 16.02.2026</t>
  </si>
  <si>
    <t>Testing</t>
  </si>
  <si>
    <t>Category</t>
  </si>
  <si>
    <t>18/02/2026</t>
  </si>
  <si>
    <t>19/02/2026</t>
  </si>
  <si>
    <t>s</t>
  </si>
  <si>
    <t>Meetings</t>
  </si>
  <si>
    <t>Sprint Planning</t>
  </si>
  <si>
    <t>Expert meeting (kickoff, constraints, acceptance)</t>
  </si>
  <si>
    <t>should</t>
  </si>
  <si>
    <t>Analysis</t>
  </si>
  <si>
    <t>A01 Scope + success criteria v0.1 (in/out)</t>
  </si>
  <si>
    <t>A04 Architecture draft v0.1 (backend, adapters, flows)</t>
  </si>
  <si>
    <t>Repo setup (README, gitflow branches, .gitignore)</t>
  </si>
  <si>
    <t>Backend scaffold (FastAPI, config, logging)</t>
  </si>
  <si>
    <t>A02/A03 Research log start (Apertus, runtimes, OpenAI API scope)</t>
  </si>
  <si>
    <t>H01 Runtime decision record v0.1 (llama.cpp vs alternatives)</t>
  </si>
  <si>
    <t>POST /v1/chat/completions (OpenAI-style response shape, mock)</t>
  </si>
  <si>
    <t>Adapter interface + factory wiring (mock adapter integrated)</t>
  </si>
  <si>
    <t>A12 DoD + test concept skeleton v0.1 + local commands</t>
  </si>
  <si>
    <t>Request/response validation + consistent error handling</t>
  </si>
  <si>
    <t>Mock adapter behaviour: parameters (model/temp/max_tokens)</t>
  </si>
  <si>
    <t>Pytest contract tests: /health + /v1/chat/completions</t>
  </si>
  <si>
    <t>Perf script baseline (make perf) + save JSON results</t>
  </si>
  <si>
    <t>Responsive chat UI (basic LLM interaction features)</t>
  </si>
  <si>
    <t>UX latency handling: thinking indicator + error states</t>
  </si>
  <si>
    <t>Sprint Review + Retro notes + backlog refinement</t>
  </si>
  <si>
    <t>Project Setup</t>
  </si>
  <si>
    <t>Backend Baseline</t>
  </si>
  <si>
    <t>Backend API</t>
  </si>
  <si>
    <t>Backend Hardening</t>
  </si>
  <si>
    <t>Performance (H08)</t>
  </si>
  <si>
    <t>Frontend Baseline</t>
  </si>
  <si>
    <t>Total</t>
  </si>
  <si>
    <t>Start</t>
  </si>
  <si>
    <t>Schooldays</t>
  </si>
  <si>
    <t>23/2/2026</t>
  </si>
  <si>
    <t>13/2/2026</t>
  </si>
  <si>
    <t>16/2/2026</t>
  </si>
  <si>
    <t>i</t>
  </si>
  <si>
    <t>Out of Office</t>
  </si>
  <si>
    <t>Legend</t>
  </si>
  <si>
    <t>Research and Decisions</t>
  </si>
  <si>
    <t>Quality and Docs</t>
  </si>
  <si>
    <t>Sprint 1</t>
  </si>
  <si>
    <t>A05 Risk log v0.1 +  decision log updates</t>
  </si>
  <si>
    <t>Workjournaling</t>
  </si>
  <si>
    <t>Creating Gannt chart for Project</t>
  </si>
  <si>
    <t>Tracking</t>
  </si>
  <si>
    <t>Journaling</t>
  </si>
  <si>
    <t>[h]:mm:ss</t>
  </si>
  <si>
    <t>Should</t>
  </si>
  <si>
    <t>Day 1</t>
  </si>
  <si>
    <t>Day 2</t>
  </si>
  <si>
    <t>Day 3</t>
  </si>
  <si>
    <t>Day 4</t>
  </si>
  <si>
    <t>Week 1</t>
  </si>
  <si>
    <t>Week 2</t>
  </si>
  <si>
    <t>Review and Wrap-up Sprint 1</t>
  </si>
  <si>
    <t>Yellow Line</t>
  </si>
  <si>
    <t>Milestones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</si>
</sst>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8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E7F9EF"/>
        <bgColor rgb="FFE7F9EF"/>
      </patternFill>
    </fill>
    <fill>
      <patternFill patternType="solid">
        <fgColor rgb="FFFFE6DD"/>
        <bgColor rgb="FFFFE6DD"/>
      </patternFill>
    </fill>
    <fill>
      <patternFill patternType="solid">
        <fgColor theme="2"/>
        <bgColor indexed="64"/>
      </patternFill>
    </fill>
    <fill>
      <patternFill patternType="solid">
        <fgColor theme="9"/>
        <bgColor rgb="FFE7F9EF"/>
      </patternFill>
    </fill>
  </fills>
  <borders count="75">
    <border>
      <left/>
      <right/>
      <top/>
      <bottom/>
      <diagonal/>
    </border>
    <border>
      <left/>
      <right/>
      <top/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/>
      <right style="medium">
        <color rgb="FF666666"/>
      </right>
      <top/>
      <bottom/>
      <diagonal/>
    </border>
    <border>
      <left style="medium">
        <color rgb="FF666666"/>
      </left>
      <right/>
      <top/>
      <bottom/>
      <diagonal/>
    </border>
    <border>
      <left style="medium">
        <color rgb="FF666666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666666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666666"/>
      </right>
      <top/>
      <bottom style="thin">
        <color indexed="64"/>
      </bottom>
      <diagonal/>
    </border>
    <border>
      <left style="medium">
        <color rgb="FF666666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thin">
        <color rgb="FF778969"/>
      </top>
      <bottom style="thin">
        <color rgb="FFD9D9D9"/>
      </bottom>
      <diagonal/>
    </border>
    <border>
      <left style="medium">
        <color rgb="FF666666"/>
      </left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778969"/>
      </bottom>
      <diagonal/>
    </border>
    <border>
      <left style="thin">
        <color rgb="FFD9D9D9"/>
      </left>
      <right style="medium">
        <color rgb="FF666666"/>
      </right>
      <top style="thin">
        <color rgb="FFD9D9D9"/>
      </top>
      <bottom style="thin">
        <color rgb="FF778969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thin">
        <color rgb="FF77896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666666"/>
      </left>
      <right/>
      <top style="thin">
        <color indexed="64"/>
      </top>
      <bottom/>
      <diagonal/>
    </border>
    <border>
      <left style="medium">
        <color rgb="FF666666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/>
      <bottom style="thin">
        <color rgb="FFD9D9D9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rgb="FF666666"/>
      </right>
      <top style="thin">
        <color rgb="FFD9D9D9"/>
      </top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thin">
        <color indexed="64"/>
      </top>
      <bottom style="thin">
        <color rgb="FFD9D9D9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rgb="FF666666"/>
      </right>
      <top style="medium">
        <color indexed="64"/>
      </top>
      <bottom/>
      <diagonal/>
    </border>
    <border>
      <left style="medium">
        <color rgb="FF666666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medium">
        <color indexed="64"/>
      </top>
      <bottom style="thin">
        <color rgb="FFD9D9D9"/>
      </bottom>
      <diagonal/>
    </border>
    <border>
      <left style="thin">
        <color indexed="64"/>
      </left>
      <right style="medium">
        <color rgb="FF666666"/>
      </right>
      <top/>
      <bottom style="medium">
        <color indexed="64"/>
      </bottom>
      <diagonal/>
    </border>
    <border>
      <left/>
      <right style="medium">
        <color rgb="FF666666"/>
      </right>
      <top style="thin">
        <color indexed="64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/>
      <bottom style="medium">
        <color theme="4"/>
      </bottom>
      <diagonal/>
    </border>
    <border>
      <left style="medium">
        <color rgb="FF666666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666666"/>
      </right>
      <top style="medium">
        <color indexed="64"/>
      </top>
      <bottom style="thin">
        <color indexed="64"/>
      </bottom>
      <diagonal/>
    </border>
    <border>
      <left style="medium">
        <color rgb="FF666666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666666"/>
      </right>
      <top style="thin">
        <color indexed="64"/>
      </top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666666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rgb="FF666666"/>
      </right>
      <top/>
      <bottom/>
      <diagonal/>
    </border>
    <border>
      <left/>
      <right style="medium">
        <color rgb="FF666666"/>
      </right>
      <top style="thin">
        <color rgb="FF778969"/>
      </top>
      <bottom style="thin">
        <color rgb="FFD9D9D9"/>
      </bottom>
      <diagonal/>
    </border>
    <border>
      <left style="medium">
        <color rgb="FF666666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rgb="FF666666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0">
    <xf numFmtId="0" fontId="0" fillId="0" borderId="0" xfId="0"/>
    <xf numFmtId="0" fontId="5" fillId="5" borderId="15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0" fontId="5" fillId="5" borderId="19" xfId="0" applyFont="1" applyFill="1" applyBorder="1"/>
    <xf numFmtId="0" fontId="5" fillId="6" borderId="20" xfId="0" applyFont="1" applyFill="1" applyBorder="1"/>
    <xf numFmtId="0" fontId="5" fillId="6" borderId="21" xfId="0" applyFont="1" applyFill="1" applyBorder="1"/>
    <xf numFmtId="0" fontId="5" fillId="6" borderId="22" xfId="0" applyFont="1" applyFill="1" applyBorder="1"/>
    <xf numFmtId="0" fontId="0" fillId="7" borderId="23" xfId="0" applyFill="1" applyBorder="1" applyProtection="1">
      <protection locked="0"/>
    </xf>
    <xf numFmtId="0" fontId="0" fillId="7" borderId="0" xfId="0" applyFill="1" applyProtection="1">
      <protection locked="0"/>
    </xf>
    <xf numFmtId="0" fontId="5" fillId="5" borderId="28" xfId="0" applyFont="1" applyFill="1" applyBorder="1"/>
    <xf numFmtId="0" fontId="5" fillId="5" borderId="29" xfId="0" applyFont="1" applyFill="1" applyBorder="1"/>
    <xf numFmtId="0" fontId="5" fillId="5" borderId="30" xfId="0" applyFont="1" applyFill="1" applyBorder="1"/>
    <xf numFmtId="0" fontId="5" fillId="6" borderId="32" xfId="0" applyFont="1" applyFill="1" applyBorder="1"/>
    <xf numFmtId="0" fontId="5" fillId="6" borderId="33" xfId="0" applyFont="1" applyFill="1" applyBorder="1"/>
    <xf numFmtId="0" fontId="5" fillId="6" borderId="34" xfId="0" applyFont="1" applyFill="1" applyBorder="1"/>
    <xf numFmtId="0" fontId="5" fillId="5" borderId="35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5" fillId="5" borderId="40" xfId="0" applyFont="1" applyFill="1" applyBorder="1"/>
    <xf numFmtId="0" fontId="5" fillId="5" borderId="41" xfId="0" applyFont="1" applyFill="1" applyBorder="1"/>
    <xf numFmtId="0" fontId="0" fillId="0" borderId="24" xfId="0" applyBorder="1"/>
    <xf numFmtId="0" fontId="0" fillId="0" borderId="14" xfId="0" applyBorder="1"/>
    <xf numFmtId="0" fontId="0" fillId="0" borderId="31" xfId="0" applyBorder="1"/>
    <xf numFmtId="0" fontId="0" fillId="0" borderId="50" xfId="0" applyBorder="1"/>
    <xf numFmtId="0" fontId="0" fillId="0" borderId="25" xfId="0" applyBorder="1"/>
    <xf numFmtId="0" fontId="5" fillId="8" borderId="19" xfId="0" applyFont="1" applyFill="1" applyBorder="1"/>
    <xf numFmtId="0" fontId="5" fillId="8" borderId="17" xfId="0" applyFont="1" applyFill="1" applyBorder="1"/>
    <xf numFmtId="0" fontId="5" fillId="8" borderId="15" xfId="0" applyFont="1" applyFill="1" applyBorder="1"/>
    <xf numFmtId="21" fontId="0" fillId="0" borderId="26" xfId="0" applyNumberFormat="1" applyBorder="1" applyAlignment="1">
      <alignment horizontal="center" vertical="center"/>
    </xf>
    <xf numFmtId="21" fontId="0" fillId="0" borderId="23" xfId="0" applyNumberFormat="1" applyBorder="1" applyAlignment="1">
      <alignment horizontal="center" vertical="center"/>
    </xf>
    <xf numFmtId="0" fontId="0" fillId="7" borderId="27" xfId="0" applyFill="1" applyBorder="1" applyProtection="1">
      <protection locked="0"/>
    </xf>
    <xf numFmtId="0" fontId="0" fillId="7" borderId="43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7" borderId="5" xfId="0" applyFill="1" applyBorder="1" applyProtection="1">
      <protection locked="0"/>
    </xf>
    <xf numFmtId="0" fontId="0" fillId="7" borderId="7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9" xfId="0" applyFill="1" applyBorder="1" applyProtection="1">
      <protection locked="0"/>
    </xf>
    <xf numFmtId="0" fontId="5" fillId="0" borderId="0" xfId="0" applyFont="1"/>
    <xf numFmtId="164" fontId="5" fillId="0" borderId="0" xfId="0" applyNumberFormat="1" applyFont="1"/>
    <xf numFmtId="14" fontId="0" fillId="0" borderId="0" xfId="0" applyNumberFormat="1"/>
    <xf numFmtId="14" fontId="5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5" fillId="6" borderId="63" xfId="0" applyFont="1" applyFill="1" applyBorder="1"/>
    <xf numFmtId="46" fontId="0" fillId="0" borderId="39" xfId="0" applyNumberFormat="1" applyBorder="1" applyAlignment="1">
      <alignment horizontal="center" vertical="center"/>
    </xf>
    <xf numFmtId="46" fontId="0" fillId="0" borderId="42" xfId="0" applyNumberFormat="1" applyBorder="1" applyAlignment="1">
      <alignment horizontal="center" vertical="center"/>
    </xf>
    <xf numFmtId="0" fontId="9" fillId="0" borderId="13" xfId="0" applyFont="1" applyBorder="1"/>
    <xf numFmtId="0" fontId="11" fillId="0" borderId="13" xfId="0" applyFont="1" applyBorder="1"/>
    <xf numFmtId="0" fontId="5" fillId="6" borderId="66" xfId="0" applyFont="1" applyFill="1" applyBorder="1"/>
    <xf numFmtId="0" fontId="5" fillId="6" borderId="67" xfId="0" applyFont="1" applyFill="1" applyBorder="1"/>
    <xf numFmtId="0" fontId="5" fillId="6" borderId="68" xfId="0" applyFont="1" applyFill="1" applyBorder="1"/>
    <xf numFmtId="0" fontId="12" fillId="5" borderId="19" xfId="0" applyFont="1" applyFill="1" applyBorder="1"/>
    <xf numFmtId="0" fontId="12" fillId="5" borderId="16" xfId="0" applyFont="1" applyFill="1" applyBorder="1"/>
    <xf numFmtId="0" fontId="12" fillId="5" borderId="69" xfId="0" applyFont="1" applyFill="1" applyBorder="1"/>
    <xf numFmtId="0" fontId="13" fillId="0" borderId="13" xfId="0" applyFont="1" applyBorder="1"/>
    <xf numFmtId="0" fontId="0" fillId="0" borderId="54" xfId="0" applyBorder="1" applyAlignment="1">
      <alignment vertical="center" wrapText="1"/>
    </xf>
    <xf numFmtId="0" fontId="0" fillId="0" borderId="51" xfId="0" applyBorder="1"/>
    <xf numFmtId="0" fontId="0" fillId="0" borderId="55" xfId="0" applyBorder="1"/>
    <xf numFmtId="0" fontId="0" fillId="0" borderId="52" xfId="0" applyBorder="1" applyAlignment="1">
      <alignment vertical="center" wrapText="1"/>
    </xf>
    <xf numFmtId="0" fontId="0" fillId="0" borderId="53" xfId="0" applyBorder="1"/>
    <xf numFmtId="0" fontId="0" fillId="0" borderId="49" xfId="0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5" fillId="0" borderId="73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46" fontId="5" fillId="0" borderId="57" xfId="0" applyNumberFormat="1" applyFont="1" applyBorder="1" applyAlignment="1">
      <alignment horizontal="center"/>
    </xf>
    <xf numFmtId="46" fontId="5" fillId="0" borderId="58" xfId="0" applyNumberFormat="1" applyFont="1" applyBorder="1" applyAlignment="1">
      <alignment horizontal="center"/>
    </xf>
    <xf numFmtId="46" fontId="5" fillId="0" borderId="59" xfId="0" applyNumberFormat="1" applyFont="1" applyBorder="1" applyAlignment="1">
      <alignment horizontal="center"/>
    </xf>
    <xf numFmtId="46" fontId="5" fillId="0" borderId="60" xfId="0" applyNumberFormat="1" applyFont="1" applyBorder="1" applyAlignment="1">
      <alignment horizontal="center"/>
    </xf>
    <xf numFmtId="46" fontId="5" fillId="0" borderId="61" xfId="0" applyNumberFormat="1" applyFont="1" applyBorder="1" applyAlignment="1">
      <alignment horizontal="center"/>
    </xf>
    <xf numFmtId="46" fontId="5" fillId="0" borderId="62" xfId="0" applyNumberFormat="1" applyFont="1" applyBorder="1" applyAlignment="1">
      <alignment horizontal="center"/>
    </xf>
    <xf numFmtId="0" fontId="10" fillId="2" borderId="64" xfId="1" applyFont="1" applyBorder="1" applyAlignment="1">
      <alignment horizontal="center"/>
    </xf>
    <xf numFmtId="0" fontId="10" fillId="2" borderId="65" xfId="1" applyFont="1" applyBorder="1" applyAlignment="1">
      <alignment horizontal="center"/>
    </xf>
    <xf numFmtId="0" fontId="7" fillId="2" borderId="0" xfId="1" applyFont="1" applyBorder="1" applyAlignment="1">
      <alignment horizontal="center" vertical="center"/>
    </xf>
    <xf numFmtId="0" fontId="7" fillId="2" borderId="56" xfId="1" applyFont="1" applyBorder="1" applyAlignment="1">
      <alignment horizontal="center" vertical="center"/>
    </xf>
    <xf numFmtId="0" fontId="7" fillId="2" borderId="0" xfId="1" applyFont="1" applyBorder="1" applyAlignment="1">
      <alignment horizontal="center" vertical="center" wrapText="1"/>
    </xf>
    <xf numFmtId="0" fontId="7" fillId="2" borderId="56" xfId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4" fillId="3" borderId="13" xfId="2" applyFont="1" applyBorder="1" applyAlignment="1">
      <alignment horizontal="center"/>
    </xf>
    <xf numFmtId="0" fontId="0" fillId="0" borderId="55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8" fillId="2" borderId="38" xfId="1" applyFont="1" applyBorder="1" applyAlignment="1">
      <alignment horizontal="center" vertical="center"/>
    </xf>
    <xf numFmtId="0" fontId="8" fillId="2" borderId="0" xfId="1" applyFont="1" applyAlignment="1">
      <alignment horizontal="center" vertical="center"/>
    </xf>
    <xf numFmtId="46" fontId="5" fillId="0" borderId="70" xfId="0" applyNumberFormat="1" applyFont="1" applyBorder="1" applyAlignment="1">
      <alignment horizontal="center"/>
    </xf>
    <xf numFmtId="46" fontId="5" fillId="0" borderId="71" xfId="0" applyNumberFormat="1" applyFont="1" applyBorder="1" applyAlignment="1">
      <alignment horizontal="center"/>
    </xf>
    <xf numFmtId="46" fontId="5" fillId="0" borderId="72" xfId="0" applyNumberFormat="1" applyFont="1" applyBorder="1" applyAlignment="1">
      <alignment horizontal="center"/>
    </xf>
    <xf numFmtId="0" fontId="0" fillId="0" borderId="55" xfId="0" applyBorder="1" applyAlignment="1">
      <alignment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2" borderId="0" xfId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0" fillId="0" borderId="51" xfId="0" applyBorder="1" applyAlignment="1">
      <alignment vertical="center" wrapText="1"/>
    </xf>
    <xf numFmtId="0" fontId="0" fillId="0" borderId="52" xfId="0" applyBorder="1" applyAlignment="1">
      <alignment horizontal="left" wrapText="1"/>
    </xf>
    <xf numFmtId="0" fontId="0" fillId="0" borderId="53" xfId="0" applyBorder="1" applyAlignment="1">
      <alignment horizontal="left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4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49" xfId="0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0" borderId="0" xfId="0" applyFont="1"/>
    <xf numFmtId="0" fontId="4" fillId="0" borderId="5" xfId="0" applyFont="1" applyBorder="1"/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4" fillId="0" borderId="11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0" fillId="4" borderId="1" xfId="0" applyFill="1" applyBorder="1" applyAlignment="1">
      <alignment horizontal="center"/>
    </xf>
  </cellXfs>
  <cellStyles count="3">
    <cellStyle name="60% - Accent1" xfId="2" builtinId="32"/>
    <cellStyle name="Accent1" xfId="1" builtinId="29"/>
    <cellStyle name="Normal" xfId="0" builtinId="0"/>
  </cellStyles>
  <dxfs count="16"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FEFEF"/>
          <bgColor rgb="FFEFEFEF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63500</xdr:colOff>
      <xdr:row>46</xdr:row>
      <xdr:rowOff>0</xdr:rowOff>
    </xdr:from>
    <xdr:ext cx="2298700" cy="147014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F130E3-D091-7FD0-19E0-E0E6C6373405}"/>
            </a:ext>
          </a:extLst>
        </xdr:cNvPr>
        <xdr:cNvSpPr txBox="1"/>
      </xdr:nvSpPr>
      <xdr:spPr>
        <a:xfrm>
          <a:off x="13906500" y="9537700"/>
          <a:ext cx="2298700" cy="14701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Time blocks represent 1-hour planning units. Minor deviations (±30 min) are documented in the work journal and absorbed within sprint capacity.  Despite block-based tracking, the effective working time corresponds to the required 8 hours per day.</a:t>
          </a:r>
          <a:endParaRPr lang="en-US" sz="1100"/>
        </a:p>
      </xdr:txBody>
    </xdr:sp>
    <xdr:clientData/>
  </xdr:oneCellAnchor>
  <xdr:twoCellAnchor>
    <xdr:from>
      <xdr:col>43</xdr:col>
      <xdr:colOff>101600</xdr:colOff>
      <xdr:row>3</xdr:row>
      <xdr:rowOff>190500</xdr:rowOff>
    </xdr:from>
    <xdr:to>
      <xdr:col>43</xdr:col>
      <xdr:colOff>101600</xdr:colOff>
      <xdr:row>44</xdr:row>
      <xdr:rowOff>177800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F40997-822C-E6BE-4B92-721691AE1346}"/>
            </a:ext>
          </a:extLst>
        </xdr:cNvPr>
        <xdr:cNvCxnSpPr/>
      </xdr:nvCxnSpPr>
      <xdr:spPr>
        <a:xfrm>
          <a:off x="13728700" y="850900"/>
          <a:ext cx="0" cy="844550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9095-BC85-F44C-9470-40A94FC58D5D}">
  <dimension ref="A1:AR53"/>
  <sheetViews>
    <sheetView tabSelected="1" zoomScale="71" workbookViewId="0">
      <selection activeCell="AT6" sqref="AT6"/>
    </sheetView>
  </sheetViews>
  <sheetFormatPr baseColWidth="10" defaultColWidth="2.83203125" defaultRowHeight="16" x14ac:dyDescent="0.2"/>
  <cols>
    <col min="1" max="1" width="23.5" customWidth="1"/>
    <col min="2" max="2" width="28.83203125" customWidth="1"/>
    <col min="3" max="3" width="6.83203125" customWidth="1"/>
    <col min="4" max="4" width="9.1640625" customWidth="1"/>
    <col min="7" max="7" width="3" customWidth="1"/>
    <col min="8" max="9" width="2.83203125" customWidth="1"/>
    <col min="10" max="10" width="2.6640625" customWidth="1"/>
    <col min="11" max="12" width="2.83203125" customWidth="1"/>
    <col min="16" max="20" width="2.83203125" customWidth="1"/>
  </cols>
  <sheetData>
    <row r="1" spans="1:44" ht="19" customHeight="1" x14ac:dyDescent="0.3">
      <c r="A1" s="74" t="s">
        <v>8</v>
      </c>
      <c r="B1" s="76" t="s">
        <v>1</v>
      </c>
      <c r="C1" s="78" t="s">
        <v>3</v>
      </c>
      <c r="D1" s="78"/>
      <c r="E1" s="79" t="s">
        <v>50</v>
      </c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</row>
    <row r="2" spans="1:44" ht="17" thickBot="1" x14ac:dyDescent="0.25">
      <c r="A2" s="74"/>
      <c r="B2" s="76"/>
      <c r="C2" s="78"/>
      <c r="D2" s="78"/>
      <c r="E2" s="91" t="s">
        <v>62</v>
      </c>
      <c r="F2" s="91"/>
      <c r="G2" s="91"/>
      <c r="H2" s="91"/>
      <c r="I2" s="91"/>
      <c r="J2" s="91"/>
      <c r="K2" s="91"/>
      <c r="L2" s="91"/>
      <c r="M2" s="119"/>
      <c r="N2" s="119"/>
      <c r="O2" s="119"/>
      <c r="P2" s="119"/>
      <c r="Q2" s="119"/>
      <c r="R2" s="119"/>
      <c r="S2" s="119"/>
      <c r="T2" s="119"/>
      <c r="U2" s="91" t="s">
        <v>63</v>
      </c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</row>
    <row r="3" spans="1:44" ht="16" customHeight="1" x14ac:dyDescent="0.2">
      <c r="A3" s="74"/>
      <c r="B3" s="76"/>
      <c r="C3" s="78"/>
      <c r="D3" s="78"/>
      <c r="E3" s="92" t="s">
        <v>58</v>
      </c>
      <c r="F3" s="93"/>
      <c r="G3" s="93"/>
      <c r="H3" s="93"/>
      <c r="I3" s="93"/>
      <c r="J3" s="93"/>
      <c r="K3" s="93"/>
      <c r="L3" s="93"/>
      <c r="M3" s="116" t="s">
        <v>0</v>
      </c>
      <c r="N3" s="117"/>
      <c r="O3" s="117"/>
      <c r="P3" s="117"/>
      <c r="Q3" s="117"/>
      <c r="R3" s="117"/>
      <c r="S3" s="117"/>
      <c r="T3" s="118"/>
      <c r="U3" s="106" t="s">
        <v>59</v>
      </c>
      <c r="V3" s="107"/>
      <c r="W3" s="107"/>
      <c r="X3" s="107"/>
      <c r="Y3" s="107"/>
      <c r="Z3" s="107"/>
      <c r="AA3" s="107"/>
      <c r="AB3" s="108"/>
      <c r="AC3" s="106" t="s">
        <v>60</v>
      </c>
      <c r="AD3" s="107"/>
      <c r="AE3" s="107"/>
      <c r="AF3" s="107"/>
      <c r="AG3" s="107"/>
      <c r="AH3" s="107"/>
      <c r="AI3" s="107"/>
      <c r="AJ3" s="108"/>
      <c r="AK3" s="106" t="s">
        <v>61</v>
      </c>
      <c r="AL3" s="78"/>
      <c r="AM3" s="78"/>
      <c r="AN3" s="78"/>
      <c r="AO3" s="78"/>
      <c r="AP3" s="78"/>
      <c r="AQ3" s="78"/>
      <c r="AR3" s="111"/>
    </row>
    <row r="4" spans="1:44" ht="17" customHeight="1" thickBot="1" x14ac:dyDescent="0.25">
      <c r="A4" s="75"/>
      <c r="B4" s="77"/>
      <c r="C4" s="99" t="s">
        <v>56</v>
      </c>
      <c r="D4" s="100"/>
      <c r="E4" s="94" t="s">
        <v>4</v>
      </c>
      <c r="F4" s="95"/>
      <c r="G4" s="95"/>
      <c r="H4" s="95"/>
      <c r="I4" s="95"/>
      <c r="J4" s="95"/>
      <c r="K4" s="95"/>
      <c r="L4" s="95"/>
      <c r="M4" s="113" t="s">
        <v>6</v>
      </c>
      <c r="N4" s="114"/>
      <c r="O4" s="114"/>
      <c r="P4" s="114"/>
      <c r="Q4" s="114"/>
      <c r="R4" s="114"/>
      <c r="S4" s="114"/>
      <c r="T4" s="115"/>
      <c r="U4" s="94" t="s">
        <v>5</v>
      </c>
      <c r="V4" s="109"/>
      <c r="W4" s="109"/>
      <c r="X4" s="109"/>
      <c r="Y4" s="109"/>
      <c r="Z4" s="109"/>
      <c r="AA4" s="109"/>
      <c r="AB4" s="110"/>
      <c r="AC4" s="94" t="s">
        <v>9</v>
      </c>
      <c r="AD4" s="109"/>
      <c r="AE4" s="109"/>
      <c r="AF4" s="109"/>
      <c r="AG4" s="109"/>
      <c r="AH4" s="109"/>
      <c r="AI4" s="109"/>
      <c r="AJ4" s="110"/>
      <c r="AK4" s="94" t="s">
        <v>10</v>
      </c>
      <c r="AL4" s="95"/>
      <c r="AM4" s="95"/>
      <c r="AN4" s="95"/>
      <c r="AO4" s="95"/>
      <c r="AP4" s="95"/>
      <c r="AQ4" s="95"/>
      <c r="AR4" s="112"/>
    </row>
    <row r="5" spans="1:44" ht="14" customHeight="1" x14ac:dyDescent="0.2">
      <c r="A5" s="101" t="s">
        <v>12</v>
      </c>
      <c r="B5" s="96" t="s">
        <v>13</v>
      </c>
      <c r="C5" s="21" t="s">
        <v>15</v>
      </c>
      <c r="D5" s="29">
        <f>COUNTIF(E5:AR5,"S")/24</f>
        <v>4.1666666666666664E-2</v>
      </c>
      <c r="E5" s="26" t="s">
        <v>11</v>
      </c>
      <c r="F5" s="2"/>
      <c r="G5" s="2"/>
      <c r="H5" s="2"/>
      <c r="I5" s="2"/>
      <c r="J5" s="2"/>
      <c r="K5" s="2"/>
      <c r="L5" s="3"/>
      <c r="M5" s="31"/>
      <c r="N5" s="8"/>
      <c r="O5" s="8"/>
      <c r="P5" s="8"/>
      <c r="Q5" s="8"/>
      <c r="R5" s="8"/>
      <c r="S5" s="8"/>
      <c r="T5" s="32"/>
      <c r="U5" s="16"/>
      <c r="V5" s="17"/>
      <c r="W5" s="17"/>
      <c r="X5" s="17"/>
      <c r="Y5" s="17"/>
      <c r="Z5" s="17"/>
      <c r="AA5" s="17"/>
      <c r="AB5" s="18"/>
      <c r="AC5" s="16"/>
      <c r="AD5" s="17"/>
      <c r="AE5" s="17"/>
      <c r="AF5" s="17"/>
      <c r="AG5" s="17"/>
      <c r="AH5" s="17"/>
      <c r="AI5" s="17"/>
      <c r="AJ5" s="18"/>
      <c r="AK5" s="16"/>
      <c r="AL5" s="17"/>
      <c r="AM5" s="17"/>
      <c r="AN5" s="17"/>
      <c r="AO5" s="17"/>
      <c r="AP5" s="17"/>
      <c r="AQ5" s="17"/>
      <c r="AR5" s="18"/>
    </row>
    <row r="6" spans="1:44" ht="13" customHeight="1" x14ac:dyDescent="0.2">
      <c r="A6" s="101"/>
      <c r="B6" s="56"/>
      <c r="C6" s="22" t="s">
        <v>2</v>
      </c>
      <c r="D6" s="29">
        <f>COUNTIF(E6:AR6,"i")/24</f>
        <v>4.1666666666666664E-2</v>
      </c>
      <c r="E6" s="43" t="s">
        <v>45</v>
      </c>
      <c r="F6" s="5"/>
      <c r="G6" s="5"/>
      <c r="H6" s="5"/>
      <c r="I6" s="5"/>
      <c r="J6" s="5"/>
      <c r="K6" s="5"/>
      <c r="L6" s="6"/>
      <c r="M6" s="33"/>
      <c r="N6" s="9"/>
      <c r="O6" s="9"/>
      <c r="P6" s="9"/>
      <c r="Q6" s="9"/>
      <c r="R6" s="9"/>
      <c r="S6" s="9"/>
      <c r="T6" s="34"/>
      <c r="U6" s="7"/>
      <c r="V6" s="5"/>
      <c r="W6" s="5"/>
      <c r="X6" s="5"/>
      <c r="Y6" s="5"/>
      <c r="Z6" s="5"/>
      <c r="AA6" s="5"/>
      <c r="AB6" s="6"/>
      <c r="AC6" s="7"/>
      <c r="AD6" s="5"/>
      <c r="AE6" s="5"/>
      <c r="AF6" s="5"/>
      <c r="AG6" s="5"/>
      <c r="AH6" s="5"/>
      <c r="AI6" s="5"/>
      <c r="AJ6" s="6"/>
      <c r="AK6" s="7"/>
      <c r="AL6" s="5"/>
      <c r="AM6" s="5"/>
      <c r="AN6" s="5"/>
      <c r="AO6" s="5"/>
      <c r="AP6" s="5"/>
      <c r="AQ6" s="5"/>
      <c r="AR6" s="6"/>
    </row>
    <row r="7" spans="1:44" x14ac:dyDescent="0.2">
      <c r="A7" s="101"/>
      <c r="B7" s="97" t="s">
        <v>14</v>
      </c>
      <c r="C7" s="21" t="s">
        <v>15</v>
      </c>
      <c r="D7" s="30">
        <f>COUNTIF(E7:AR7,"S")/24</f>
        <v>4.1666666666666664E-2</v>
      </c>
      <c r="E7" s="10"/>
      <c r="F7" s="27" t="s">
        <v>11</v>
      </c>
      <c r="G7" s="2"/>
      <c r="H7" s="2"/>
      <c r="I7" s="2"/>
      <c r="J7" s="2"/>
      <c r="K7" s="2"/>
      <c r="L7" s="3"/>
      <c r="M7" s="33"/>
      <c r="N7" s="9"/>
      <c r="O7" s="9"/>
      <c r="P7" s="9"/>
      <c r="Q7" s="9"/>
      <c r="R7" s="9"/>
      <c r="S7" s="9"/>
      <c r="T7" s="34"/>
      <c r="U7" s="4"/>
      <c r="V7" s="2"/>
      <c r="W7" s="2"/>
      <c r="X7" s="2"/>
      <c r="Y7" s="2"/>
      <c r="Z7" s="2"/>
      <c r="AA7" s="2"/>
      <c r="AB7" s="3"/>
      <c r="AC7" s="4"/>
      <c r="AD7" s="2"/>
      <c r="AE7" s="2"/>
      <c r="AF7" s="2"/>
      <c r="AG7" s="2"/>
      <c r="AH7" s="2"/>
      <c r="AI7" s="2"/>
      <c r="AJ7" s="3"/>
      <c r="AK7" s="4"/>
      <c r="AL7" s="2"/>
      <c r="AM7" s="2"/>
      <c r="AN7" s="2"/>
      <c r="AO7" s="2"/>
      <c r="AP7" s="2"/>
      <c r="AQ7" s="2"/>
      <c r="AR7" s="3"/>
    </row>
    <row r="8" spans="1:44" ht="17" thickBot="1" x14ac:dyDescent="0.25">
      <c r="A8" s="102"/>
      <c r="B8" s="98"/>
      <c r="C8" s="23" t="s">
        <v>2</v>
      </c>
      <c r="D8" s="30">
        <f>COUNTIF(E8:AR8,"i")/24</f>
        <v>4.1666666666666664E-2</v>
      </c>
      <c r="E8" s="13"/>
      <c r="F8" s="14" t="s">
        <v>45</v>
      </c>
      <c r="G8" s="14"/>
      <c r="H8" s="14"/>
      <c r="I8" s="14"/>
      <c r="J8" s="14"/>
      <c r="K8" s="14"/>
      <c r="L8" s="15"/>
      <c r="M8" s="33"/>
      <c r="N8" s="9"/>
      <c r="O8" s="9"/>
      <c r="P8" s="9"/>
      <c r="Q8" s="9"/>
      <c r="R8" s="9"/>
      <c r="S8" s="9"/>
      <c r="T8" s="34"/>
      <c r="U8" s="13"/>
      <c r="V8" s="14"/>
      <c r="W8" s="14"/>
      <c r="X8" s="14"/>
      <c r="Y8" s="14"/>
      <c r="Z8" s="14"/>
      <c r="AA8" s="14"/>
      <c r="AB8" s="15"/>
      <c r="AC8" s="13"/>
      <c r="AD8" s="14"/>
      <c r="AE8" s="14"/>
      <c r="AF8" s="14"/>
      <c r="AG8" s="14"/>
      <c r="AH8" s="14"/>
      <c r="AI8" s="14"/>
      <c r="AJ8" s="15"/>
      <c r="AK8" s="13"/>
      <c r="AL8" s="14"/>
      <c r="AM8" s="14"/>
      <c r="AN8" s="14"/>
      <c r="AO8" s="14"/>
      <c r="AP8" s="14"/>
      <c r="AQ8" s="14"/>
      <c r="AR8" s="15"/>
    </row>
    <row r="9" spans="1:44" x14ac:dyDescent="0.2">
      <c r="A9" s="105" t="s">
        <v>55</v>
      </c>
      <c r="B9" s="103" t="s">
        <v>53</v>
      </c>
      <c r="C9" s="21" t="s">
        <v>15</v>
      </c>
      <c r="D9" s="30">
        <f>COUNTIF(E9:AR9,"s")/24</f>
        <v>4.1666666666666664E-2</v>
      </c>
      <c r="E9" s="4"/>
      <c r="F9" s="2"/>
      <c r="G9" s="2" t="s">
        <v>11</v>
      </c>
      <c r="H9" s="2"/>
      <c r="I9" s="2"/>
      <c r="J9" s="2"/>
      <c r="K9" s="2"/>
      <c r="L9" s="3"/>
      <c r="M9" s="33"/>
      <c r="N9" s="9"/>
      <c r="O9" s="9"/>
      <c r="P9" s="9"/>
      <c r="Q9" s="9"/>
      <c r="R9" s="9"/>
      <c r="S9" s="9"/>
      <c r="T9" s="34"/>
      <c r="U9" s="2"/>
      <c r="V9" s="2"/>
      <c r="W9" s="2"/>
      <c r="X9" s="2"/>
      <c r="Y9" s="2"/>
      <c r="Z9" s="2"/>
      <c r="AA9" s="2"/>
      <c r="AB9" s="2"/>
      <c r="AC9" s="51"/>
      <c r="AD9" s="52"/>
      <c r="AE9" s="52"/>
      <c r="AF9" s="52"/>
      <c r="AG9" s="52"/>
      <c r="AH9" s="52"/>
      <c r="AI9" s="52"/>
      <c r="AJ9" s="53"/>
      <c r="AK9" s="51"/>
      <c r="AL9" s="52"/>
      <c r="AM9" s="52"/>
      <c r="AN9" s="52"/>
      <c r="AO9" s="52"/>
      <c r="AP9" s="52"/>
      <c r="AQ9" s="52"/>
      <c r="AR9" s="53"/>
    </row>
    <row r="10" spans="1:44" ht="17" thickBot="1" x14ac:dyDescent="0.25">
      <c r="A10" s="101"/>
      <c r="B10" s="104"/>
      <c r="C10" s="23" t="s">
        <v>2</v>
      </c>
      <c r="D10" s="30">
        <f t="shared" ref="D10:D14" si="0">COUNTIF(E10:AR10,"i")/24</f>
        <v>4.1666666666666664E-2</v>
      </c>
      <c r="E10" s="48"/>
      <c r="F10" s="49"/>
      <c r="G10" s="49" t="s">
        <v>45</v>
      </c>
      <c r="H10" s="49"/>
      <c r="I10" s="49"/>
      <c r="J10" s="49"/>
      <c r="K10" s="49"/>
      <c r="L10" s="50"/>
      <c r="M10" s="33"/>
      <c r="N10" s="9"/>
      <c r="O10" s="9"/>
      <c r="P10" s="9"/>
      <c r="Q10" s="9"/>
      <c r="R10" s="9"/>
      <c r="S10" s="9"/>
      <c r="T10" s="34"/>
      <c r="U10" s="48"/>
      <c r="V10" s="49"/>
      <c r="W10" s="49"/>
      <c r="X10" s="49"/>
      <c r="Y10" s="49"/>
      <c r="Z10" s="49"/>
      <c r="AA10" s="49"/>
      <c r="AB10" s="49"/>
      <c r="AC10" s="48"/>
      <c r="AD10" s="49"/>
      <c r="AE10" s="49"/>
      <c r="AF10" s="49"/>
      <c r="AG10" s="49"/>
      <c r="AH10" s="49"/>
      <c r="AI10" s="49"/>
      <c r="AJ10" s="50"/>
      <c r="AK10" s="48"/>
      <c r="AL10" s="49"/>
      <c r="AM10" s="49"/>
      <c r="AN10" s="49"/>
      <c r="AO10" s="49"/>
      <c r="AP10" s="49"/>
      <c r="AQ10" s="49"/>
      <c r="AR10" s="50"/>
    </row>
    <row r="11" spans="1:44" ht="16" customHeight="1" x14ac:dyDescent="0.2">
      <c r="A11" s="101"/>
      <c r="B11" s="80" t="s">
        <v>52</v>
      </c>
      <c r="C11" s="21" t="s">
        <v>15</v>
      </c>
      <c r="D11" s="30">
        <f>COUNTIF(E11:AR11,"i")/24</f>
        <v>0</v>
      </c>
      <c r="E11" s="4"/>
      <c r="F11" s="2"/>
      <c r="G11" s="2"/>
      <c r="H11" s="2"/>
      <c r="I11" s="2"/>
      <c r="J11" s="2"/>
      <c r="K11" s="2"/>
      <c r="L11" s="3" t="s">
        <v>11</v>
      </c>
      <c r="M11" s="33"/>
      <c r="N11" s="9"/>
      <c r="O11" s="9"/>
      <c r="P11" s="9"/>
      <c r="Q11" s="9"/>
      <c r="R11" s="9"/>
      <c r="S11" s="9"/>
      <c r="T11" s="34"/>
      <c r="U11" s="4"/>
      <c r="V11" s="2"/>
      <c r="W11" s="2"/>
      <c r="X11" s="2"/>
      <c r="Y11" s="2"/>
      <c r="Z11" s="2"/>
      <c r="AA11" s="2"/>
      <c r="AB11" s="2" t="s">
        <v>11</v>
      </c>
      <c r="AC11" s="4"/>
      <c r="AD11" s="2"/>
      <c r="AE11" s="2"/>
      <c r="AF11" s="2"/>
      <c r="AG11" s="2"/>
      <c r="AH11" s="2"/>
      <c r="AI11" s="2"/>
      <c r="AJ11" s="2" t="s">
        <v>11</v>
      </c>
      <c r="AK11" s="4"/>
      <c r="AL11" s="2"/>
      <c r="AM11" s="2"/>
      <c r="AN11" s="2"/>
      <c r="AO11" s="2"/>
      <c r="AP11" s="2"/>
      <c r="AQ11" s="2"/>
      <c r="AR11" s="3" t="s">
        <v>11</v>
      </c>
    </row>
    <row r="12" spans="1:44" ht="17" thickBot="1" x14ac:dyDescent="0.25">
      <c r="A12" s="102"/>
      <c r="B12" s="81"/>
      <c r="C12" s="23" t="s">
        <v>2</v>
      </c>
      <c r="D12" s="30">
        <f t="shared" si="0"/>
        <v>0.16666666666666666</v>
      </c>
      <c r="E12" s="48"/>
      <c r="F12" s="49"/>
      <c r="G12" s="49"/>
      <c r="H12" s="49"/>
      <c r="I12" s="49"/>
      <c r="J12" s="49"/>
      <c r="K12" s="49"/>
      <c r="L12" s="50" t="s">
        <v>45</v>
      </c>
      <c r="M12" s="33"/>
      <c r="N12" s="9"/>
      <c r="O12" s="9"/>
      <c r="P12" s="9"/>
      <c r="Q12" s="9"/>
      <c r="R12" s="9"/>
      <c r="S12" s="9"/>
      <c r="T12" s="34"/>
      <c r="U12" s="48"/>
      <c r="V12" s="49"/>
      <c r="W12" s="49"/>
      <c r="X12" s="49"/>
      <c r="Y12" s="49"/>
      <c r="Z12" s="49"/>
      <c r="AA12" s="49"/>
      <c r="AB12" s="49" t="s">
        <v>45</v>
      </c>
      <c r="AC12" s="48"/>
      <c r="AD12" s="49"/>
      <c r="AE12" s="49"/>
      <c r="AF12" s="49"/>
      <c r="AG12" s="49"/>
      <c r="AH12" s="49"/>
      <c r="AI12" s="49"/>
      <c r="AJ12" s="49" t="s">
        <v>45</v>
      </c>
      <c r="AK12" s="48"/>
      <c r="AL12" s="49"/>
      <c r="AM12" s="49"/>
      <c r="AN12" s="49"/>
      <c r="AO12" s="49"/>
      <c r="AP12" s="49"/>
      <c r="AQ12" s="49"/>
      <c r="AR12" s="15" t="s">
        <v>45</v>
      </c>
    </row>
    <row r="13" spans="1:44" x14ac:dyDescent="0.2">
      <c r="A13" s="88" t="s">
        <v>16</v>
      </c>
      <c r="B13" s="55" t="s">
        <v>17</v>
      </c>
      <c r="C13" s="24" t="s">
        <v>15</v>
      </c>
      <c r="D13" s="30">
        <f>COUNTIF(E13:AR13,"s")/24</f>
        <v>4.1666666666666664E-2</v>
      </c>
      <c r="E13" s="19"/>
      <c r="F13" s="1"/>
      <c r="G13" s="1"/>
      <c r="H13" s="28" t="s">
        <v>11</v>
      </c>
      <c r="I13" s="1"/>
      <c r="J13" s="1"/>
      <c r="K13" s="1"/>
      <c r="L13" s="20"/>
      <c r="M13" s="33"/>
      <c r="N13" s="9"/>
      <c r="O13" s="9"/>
      <c r="P13" s="9"/>
      <c r="Q13" s="9"/>
      <c r="R13" s="9"/>
      <c r="S13" s="9"/>
      <c r="T13" s="34"/>
      <c r="U13" s="19"/>
      <c r="V13" s="1"/>
      <c r="W13" s="1"/>
      <c r="X13" s="1"/>
      <c r="Y13" s="1"/>
      <c r="Z13" s="1"/>
      <c r="AA13" s="1"/>
      <c r="AB13" s="20"/>
      <c r="AC13" s="19"/>
      <c r="AD13" s="1"/>
      <c r="AE13" s="1"/>
      <c r="AF13" s="1"/>
      <c r="AG13" s="1"/>
      <c r="AH13" s="1"/>
      <c r="AI13" s="1"/>
      <c r="AJ13" s="20"/>
      <c r="AK13" s="19"/>
      <c r="AL13" s="1"/>
      <c r="AM13" s="1"/>
      <c r="AN13" s="1"/>
      <c r="AO13" s="1"/>
      <c r="AP13" s="1"/>
      <c r="AQ13" s="1"/>
      <c r="AR13" s="20"/>
    </row>
    <row r="14" spans="1:44" x14ac:dyDescent="0.2">
      <c r="A14" s="89"/>
      <c r="B14" s="57"/>
      <c r="C14" s="22" t="s">
        <v>2</v>
      </c>
      <c r="D14" s="30">
        <f t="shared" si="0"/>
        <v>4.1666666666666664E-2</v>
      </c>
      <c r="E14" s="7"/>
      <c r="F14" s="5"/>
      <c r="G14" s="5"/>
      <c r="H14" s="5" t="s">
        <v>45</v>
      </c>
      <c r="I14" s="5"/>
      <c r="J14" s="5"/>
      <c r="K14" s="5"/>
      <c r="L14" s="6"/>
      <c r="M14" s="33"/>
      <c r="N14" s="9"/>
      <c r="O14" s="9"/>
      <c r="P14" s="9"/>
      <c r="Q14" s="9"/>
      <c r="R14" s="9"/>
      <c r="S14" s="9"/>
      <c r="T14" s="34"/>
      <c r="U14" s="7"/>
      <c r="V14" s="5"/>
      <c r="W14" s="5"/>
      <c r="X14" s="5"/>
      <c r="Y14" s="5"/>
      <c r="Z14" s="5"/>
      <c r="AA14" s="5"/>
      <c r="AB14" s="6"/>
      <c r="AC14" s="7"/>
      <c r="AD14" s="5"/>
      <c r="AE14" s="5"/>
      <c r="AF14" s="5"/>
      <c r="AG14" s="5"/>
      <c r="AH14" s="5"/>
      <c r="AI14" s="5"/>
      <c r="AJ14" s="6"/>
      <c r="AK14" s="7"/>
      <c r="AL14" s="5"/>
      <c r="AM14" s="5"/>
      <c r="AN14" s="5"/>
      <c r="AO14" s="5"/>
      <c r="AP14" s="5"/>
      <c r="AQ14" s="5"/>
      <c r="AR14" s="6"/>
    </row>
    <row r="15" spans="1:44" x14ac:dyDescent="0.2">
      <c r="A15" s="89"/>
      <c r="B15" s="58" t="s">
        <v>18</v>
      </c>
      <c r="C15" s="21" t="s">
        <v>15</v>
      </c>
      <c r="D15" s="30">
        <f>COUNTIF(E15:AR15,"S")/24</f>
        <v>4.1666666666666664E-2</v>
      </c>
      <c r="E15" s="4"/>
      <c r="F15" s="2"/>
      <c r="G15" s="2"/>
      <c r="H15" s="2"/>
      <c r="I15" s="27" t="s">
        <v>11</v>
      </c>
      <c r="J15" s="2"/>
      <c r="K15" s="2"/>
      <c r="L15" s="3"/>
      <c r="M15" s="33"/>
      <c r="N15" s="9"/>
      <c r="O15" s="9"/>
      <c r="P15" s="9"/>
      <c r="Q15" s="9"/>
      <c r="R15" s="9"/>
      <c r="S15" s="9"/>
      <c r="T15" s="34"/>
      <c r="U15" s="4"/>
      <c r="V15" s="2"/>
      <c r="W15" s="2"/>
      <c r="X15" s="2"/>
      <c r="Y15" s="2"/>
      <c r="Z15" s="2"/>
      <c r="AA15" s="2"/>
      <c r="AB15" s="3"/>
      <c r="AC15" s="4"/>
      <c r="AD15" s="2"/>
      <c r="AE15" s="2"/>
      <c r="AF15" s="2"/>
      <c r="AG15" s="2"/>
      <c r="AH15" s="2"/>
      <c r="AI15" s="2"/>
      <c r="AJ15" s="3"/>
      <c r="AK15" s="4"/>
      <c r="AL15" s="2"/>
      <c r="AM15" s="2"/>
      <c r="AN15" s="2"/>
      <c r="AO15" s="2"/>
      <c r="AP15" s="2"/>
      <c r="AQ15" s="2"/>
      <c r="AR15" s="3"/>
    </row>
    <row r="16" spans="1:44" ht="17" thickBot="1" x14ac:dyDescent="0.25">
      <c r="A16" s="90"/>
      <c r="B16" s="59"/>
      <c r="C16" s="23" t="s">
        <v>2</v>
      </c>
      <c r="D16" s="30">
        <f>COUNTIF(E16:AR16,"i")/24</f>
        <v>4.1666666666666664E-2</v>
      </c>
      <c r="E16" s="13"/>
      <c r="F16" s="14"/>
      <c r="G16" s="14"/>
      <c r="H16" s="14"/>
      <c r="I16" s="14" t="s">
        <v>45</v>
      </c>
      <c r="J16" s="14"/>
      <c r="K16" s="14"/>
      <c r="L16" s="15"/>
      <c r="M16" s="33"/>
      <c r="N16" s="9"/>
      <c r="O16" s="9"/>
      <c r="P16" s="9"/>
      <c r="Q16" s="9"/>
      <c r="R16" s="9"/>
      <c r="S16" s="9"/>
      <c r="T16" s="34"/>
      <c r="U16" s="13"/>
      <c r="V16" s="14"/>
      <c r="W16" s="14"/>
      <c r="X16" s="14"/>
      <c r="Y16" s="14"/>
      <c r="Z16" s="14"/>
      <c r="AA16" s="14"/>
      <c r="AB16" s="15"/>
      <c r="AC16" s="13"/>
      <c r="AD16" s="14"/>
      <c r="AE16" s="14"/>
      <c r="AF16" s="14"/>
      <c r="AG16" s="14"/>
      <c r="AH16" s="14"/>
      <c r="AI16" s="14"/>
      <c r="AJ16" s="15"/>
      <c r="AK16" s="13"/>
      <c r="AL16" s="14"/>
      <c r="AM16" s="14"/>
      <c r="AN16" s="14"/>
      <c r="AO16" s="14"/>
      <c r="AP16" s="14"/>
      <c r="AQ16" s="14"/>
      <c r="AR16" s="15"/>
    </row>
    <row r="17" spans="1:44" x14ac:dyDescent="0.2">
      <c r="A17" s="60" t="s">
        <v>33</v>
      </c>
      <c r="B17" s="55" t="s">
        <v>19</v>
      </c>
      <c r="C17" s="24" t="s">
        <v>15</v>
      </c>
      <c r="D17" s="30">
        <f>COUNTIF(E17:AR17,"s")/24</f>
        <v>4.1666666666666664E-2</v>
      </c>
      <c r="E17" s="19"/>
      <c r="F17" s="1"/>
      <c r="G17" s="1"/>
      <c r="H17" s="1"/>
      <c r="I17" s="1"/>
      <c r="J17" s="28" t="s">
        <v>11</v>
      </c>
      <c r="K17" s="1"/>
      <c r="L17" s="20"/>
      <c r="M17" s="33"/>
      <c r="N17" s="9"/>
      <c r="O17" s="9"/>
      <c r="P17" s="9"/>
      <c r="Q17" s="9"/>
      <c r="R17" s="9"/>
      <c r="S17" s="9"/>
      <c r="T17" s="34"/>
      <c r="U17" s="19"/>
      <c r="V17" s="1"/>
      <c r="W17" s="1"/>
      <c r="X17" s="1"/>
      <c r="Y17" s="1"/>
      <c r="Z17" s="1"/>
      <c r="AA17" s="1"/>
      <c r="AB17" s="20"/>
      <c r="AC17" s="19"/>
      <c r="AD17" s="1"/>
      <c r="AE17" s="1"/>
      <c r="AF17" s="1"/>
      <c r="AG17" s="1"/>
      <c r="AH17" s="1"/>
      <c r="AI17" s="1"/>
      <c r="AJ17" s="20"/>
      <c r="AK17" s="19"/>
      <c r="AL17" s="1"/>
      <c r="AM17" s="1"/>
      <c r="AN17" s="1"/>
      <c r="AO17" s="1"/>
      <c r="AP17" s="1"/>
      <c r="AQ17" s="1"/>
      <c r="AR17" s="20"/>
    </row>
    <row r="18" spans="1:44" ht="17" thickBot="1" x14ac:dyDescent="0.25">
      <c r="A18" s="61"/>
      <c r="B18" s="59"/>
      <c r="C18" s="23" t="s">
        <v>2</v>
      </c>
      <c r="D18" s="30">
        <f t="shared" ref="D18" si="1">COUNTIF(E18:AR18,"i")/24</f>
        <v>4.1666666666666664E-2</v>
      </c>
      <c r="E18" s="13"/>
      <c r="F18" s="14"/>
      <c r="G18" s="14"/>
      <c r="H18" s="14"/>
      <c r="I18" s="14"/>
      <c r="J18" s="14" t="s">
        <v>45</v>
      </c>
      <c r="K18" s="14"/>
      <c r="L18" s="15"/>
      <c r="M18" s="33"/>
      <c r="N18" s="9"/>
      <c r="O18" s="9"/>
      <c r="P18" s="9"/>
      <c r="Q18" s="9"/>
      <c r="R18" s="9"/>
      <c r="S18" s="9"/>
      <c r="T18" s="34"/>
      <c r="U18" s="13"/>
      <c r="V18" s="14"/>
      <c r="W18" s="14"/>
      <c r="X18" s="14"/>
      <c r="Y18" s="14"/>
      <c r="Z18" s="14"/>
      <c r="AA18" s="14"/>
      <c r="AB18" s="15"/>
      <c r="AC18" s="13"/>
      <c r="AD18" s="14"/>
      <c r="AE18" s="14"/>
      <c r="AF18" s="14"/>
      <c r="AG18" s="14"/>
      <c r="AH18" s="14"/>
      <c r="AI18" s="14"/>
      <c r="AJ18" s="15"/>
      <c r="AK18" s="13"/>
      <c r="AL18" s="14"/>
      <c r="AM18" s="14"/>
      <c r="AN18" s="14"/>
      <c r="AO18" s="14"/>
      <c r="AP18" s="14"/>
      <c r="AQ18" s="14"/>
      <c r="AR18" s="15"/>
    </row>
    <row r="19" spans="1:44" x14ac:dyDescent="0.2">
      <c r="A19" s="60" t="s">
        <v>34</v>
      </c>
      <c r="B19" s="55" t="s">
        <v>20</v>
      </c>
      <c r="C19" s="24" t="s">
        <v>15</v>
      </c>
      <c r="D19" s="30">
        <f t="shared" ref="D19" si="2">COUNTIF(E19:AR19,"S")/24</f>
        <v>8.3333333333333329E-2</v>
      </c>
      <c r="E19" s="19"/>
      <c r="F19" s="1"/>
      <c r="G19" s="1"/>
      <c r="H19" s="1"/>
      <c r="I19" s="1"/>
      <c r="J19" s="1"/>
      <c r="K19" s="27" t="s">
        <v>11</v>
      </c>
      <c r="L19" s="27" t="s">
        <v>11</v>
      </c>
      <c r="M19" s="33"/>
      <c r="N19" s="9"/>
      <c r="O19" s="9"/>
      <c r="P19" s="9"/>
      <c r="Q19" s="9"/>
      <c r="R19" s="9"/>
      <c r="S19" s="9"/>
      <c r="T19" s="34"/>
      <c r="U19" s="19"/>
      <c r="V19" s="1"/>
      <c r="W19" s="1"/>
      <c r="X19" s="1"/>
      <c r="Y19" s="1"/>
      <c r="Z19" s="1"/>
      <c r="AA19" s="1"/>
      <c r="AB19" s="20"/>
      <c r="AC19" s="19"/>
      <c r="AD19" s="1"/>
      <c r="AE19" s="1"/>
      <c r="AF19" s="1"/>
      <c r="AG19" s="1"/>
      <c r="AH19" s="1"/>
      <c r="AI19" s="1"/>
      <c r="AJ19" s="20"/>
      <c r="AK19" s="19"/>
      <c r="AL19" s="1"/>
      <c r="AM19" s="1"/>
      <c r="AN19" s="1"/>
      <c r="AO19" s="1"/>
      <c r="AP19" s="1"/>
      <c r="AQ19" s="1"/>
      <c r="AR19" s="20"/>
    </row>
    <row r="20" spans="1:44" ht="17" thickBot="1" x14ac:dyDescent="0.25">
      <c r="A20" s="61"/>
      <c r="B20" s="59"/>
      <c r="C20" s="23" t="s">
        <v>2</v>
      </c>
      <c r="D20" s="30">
        <f t="shared" ref="D20" si="3">COUNTIF(E20:AR20,"i")/24</f>
        <v>8.3333333333333329E-2</v>
      </c>
      <c r="E20" s="13"/>
      <c r="F20" s="14"/>
      <c r="G20" s="14"/>
      <c r="H20" s="14"/>
      <c r="I20" s="14"/>
      <c r="J20" s="14"/>
      <c r="K20" s="14" t="s">
        <v>45</v>
      </c>
      <c r="L20" s="15" t="s">
        <v>45</v>
      </c>
      <c r="M20" s="33"/>
      <c r="N20" s="9"/>
      <c r="O20" s="9"/>
      <c r="P20" s="9"/>
      <c r="Q20" s="9"/>
      <c r="R20" s="9"/>
      <c r="S20" s="9"/>
      <c r="T20" s="34"/>
      <c r="U20" s="13"/>
      <c r="V20" s="14"/>
      <c r="W20" s="14"/>
      <c r="X20" s="14"/>
      <c r="Y20" s="14"/>
      <c r="Z20" s="14"/>
      <c r="AA20" s="14"/>
      <c r="AB20" s="15"/>
      <c r="AC20" s="13"/>
      <c r="AD20" s="14"/>
      <c r="AE20" s="14"/>
      <c r="AF20" s="14"/>
      <c r="AG20" s="14"/>
      <c r="AH20" s="14"/>
      <c r="AI20" s="14"/>
      <c r="AJ20" s="15"/>
      <c r="AK20" s="13"/>
      <c r="AL20" s="14"/>
      <c r="AM20" s="14"/>
      <c r="AN20" s="14"/>
      <c r="AO20" s="14"/>
      <c r="AP20" s="14"/>
      <c r="AQ20" s="14"/>
      <c r="AR20" s="15"/>
    </row>
    <row r="21" spans="1:44" ht="16" customHeight="1" x14ac:dyDescent="0.2">
      <c r="A21" s="62" t="s">
        <v>48</v>
      </c>
      <c r="B21" s="55" t="s">
        <v>21</v>
      </c>
      <c r="C21" s="25" t="s">
        <v>15</v>
      </c>
      <c r="D21" s="29">
        <f t="shared" ref="D21" si="4">COUNTIF(E21:AR21,"S")/24</f>
        <v>8.3333333333333329E-2</v>
      </c>
      <c r="E21" s="10"/>
      <c r="F21" s="11"/>
      <c r="G21" s="11"/>
      <c r="H21" s="11"/>
      <c r="I21" s="11"/>
      <c r="J21" s="11"/>
      <c r="K21" s="11"/>
      <c r="L21" s="12"/>
      <c r="M21" s="33"/>
      <c r="N21" s="9"/>
      <c r="O21" s="9"/>
      <c r="P21" s="9"/>
      <c r="Q21" s="9"/>
      <c r="R21" s="9"/>
      <c r="S21" s="9"/>
      <c r="T21" s="34"/>
      <c r="U21" s="27" t="s">
        <v>11</v>
      </c>
      <c r="V21" s="27" t="s">
        <v>11</v>
      </c>
      <c r="W21" s="1"/>
      <c r="X21" s="1"/>
      <c r="Y21" s="1"/>
      <c r="Z21" s="1"/>
      <c r="AA21" s="1"/>
      <c r="AB21" s="20"/>
      <c r="AC21" s="19"/>
      <c r="AD21" s="1"/>
      <c r="AE21" s="1"/>
      <c r="AF21" s="1"/>
      <c r="AG21" s="1"/>
      <c r="AH21" s="1"/>
      <c r="AI21" s="1"/>
      <c r="AJ21" s="20"/>
      <c r="AK21" s="19"/>
      <c r="AL21" s="1"/>
      <c r="AM21" s="1"/>
      <c r="AN21" s="1"/>
      <c r="AO21" s="1"/>
      <c r="AP21" s="1"/>
      <c r="AQ21" s="1"/>
      <c r="AR21" s="20"/>
    </row>
    <row r="22" spans="1:44" x14ac:dyDescent="0.2">
      <c r="A22" s="62"/>
      <c r="B22" s="56"/>
      <c r="C22" s="22" t="s">
        <v>2</v>
      </c>
      <c r="D22" s="29">
        <f t="shared" ref="D22" si="5">COUNTIF(E22:AR22,"i")/24</f>
        <v>8.3333333333333329E-2</v>
      </c>
      <c r="E22" s="7"/>
      <c r="F22" s="5"/>
      <c r="G22" s="5"/>
      <c r="H22" s="5"/>
      <c r="I22" s="5"/>
      <c r="J22" s="5"/>
      <c r="K22" s="5"/>
      <c r="L22" s="6"/>
      <c r="M22" s="33"/>
      <c r="N22" s="9"/>
      <c r="O22" s="9"/>
      <c r="P22" s="9"/>
      <c r="Q22" s="9"/>
      <c r="R22" s="9"/>
      <c r="S22" s="9"/>
      <c r="T22" s="34"/>
      <c r="U22" s="7" t="s">
        <v>45</v>
      </c>
      <c r="V22" s="5" t="s">
        <v>45</v>
      </c>
      <c r="W22" s="5"/>
      <c r="X22" s="5"/>
      <c r="Y22" s="5"/>
      <c r="Z22" s="5"/>
      <c r="AA22" s="5"/>
      <c r="AB22" s="6"/>
      <c r="AC22" s="7"/>
      <c r="AD22" s="5"/>
      <c r="AE22" s="5"/>
      <c r="AF22" s="5"/>
      <c r="AG22" s="5"/>
      <c r="AH22" s="5"/>
      <c r="AI22" s="5"/>
      <c r="AJ22" s="6"/>
      <c r="AK22" s="7"/>
      <c r="AL22" s="5"/>
      <c r="AM22" s="5"/>
      <c r="AN22" s="5"/>
      <c r="AO22" s="5"/>
      <c r="AP22" s="5"/>
      <c r="AQ22" s="5"/>
      <c r="AR22" s="6"/>
    </row>
    <row r="23" spans="1:44" ht="16" customHeight="1" x14ac:dyDescent="0.2">
      <c r="A23" s="62"/>
      <c r="B23" s="87" t="s">
        <v>22</v>
      </c>
      <c r="C23" s="21" t="s">
        <v>15</v>
      </c>
      <c r="D23" s="30">
        <f t="shared" ref="D23" si="6">COUNTIF(E23:AR23,"S")/24</f>
        <v>4.1666666666666664E-2</v>
      </c>
      <c r="E23" s="4"/>
      <c r="F23" s="2"/>
      <c r="G23" s="2"/>
      <c r="H23" s="2"/>
      <c r="I23" s="2"/>
      <c r="J23" s="2"/>
      <c r="K23" s="2"/>
      <c r="L23" s="3"/>
      <c r="M23" s="33"/>
      <c r="N23" s="9"/>
      <c r="O23" s="9"/>
      <c r="P23" s="9"/>
      <c r="Q23" s="9"/>
      <c r="R23" s="9"/>
      <c r="S23" s="9"/>
      <c r="T23" s="34"/>
      <c r="U23" s="4"/>
      <c r="V23" s="2"/>
      <c r="W23" s="27" t="s">
        <v>11</v>
      </c>
      <c r="X23" s="2"/>
      <c r="Y23" s="2"/>
      <c r="Z23" s="2"/>
      <c r="AA23" s="2"/>
      <c r="AB23" s="3"/>
      <c r="AC23" s="4"/>
      <c r="AD23" s="2"/>
      <c r="AE23" s="2"/>
      <c r="AF23" s="2"/>
      <c r="AG23" s="2"/>
      <c r="AH23" s="2"/>
      <c r="AI23" s="2"/>
      <c r="AJ23" s="3"/>
      <c r="AK23" s="4"/>
      <c r="AL23" s="2"/>
      <c r="AM23" s="2"/>
      <c r="AN23" s="2"/>
      <c r="AO23" s="2"/>
      <c r="AP23" s="2"/>
      <c r="AQ23" s="2"/>
      <c r="AR23" s="3"/>
    </row>
    <row r="24" spans="1:44" ht="17" thickBot="1" x14ac:dyDescent="0.25">
      <c r="A24" s="63"/>
      <c r="B24" s="59"/>
      <c r="C24" s="23" t="s">
        <v>2</v>
      </c>
      <c r="D24" s="30">
        <f t="shared" ref="D24" si="7">COUNTIF(E24:AR24,"i")/24</f>
        <v>4.1666666666666664E-2</v>
      </c>
      <c r="E24" s="13"/>
      <c r="F24" s="14"/>
      <c r="G24" s="14"/>
      <c r="H24" s="14"/>
      <c r="I24" s="14"/>
      <c r="J24" s="14"/>
      <c r="K24" s="14"/>
      <c r="L24" s="15"/>
      <c r="M24" s="33"/>
      <c r="N24" s="9"/>
      <c r="O24" s="9"/>
      <c r="P24" s="9"/>
      <c r="Q24" s="9"/>
      <c r="R24" s="9"/>
      <c r="S24" s="9"/>
      <c r="T24" s="34"/>
      <c r="U24" s="13"/>
      <c r="V24" s="14"/>
      <c r="W24" s="14" t="s">
        <v>45</v>
      </c>
      <c r="X24" s="14"/>
      <c r="Y24" s="14"/>
      <c r="Z24" s="14"/>
      <c r="AA24" s="14"/>
      <c r="AB24" s="15"/>
      <c r="AC24" s="13"/>
      <c r="AD24" s="14"/>
      <c r="AE24" s="14"/>
      <c r="AF24" s="14"/>
      <c r="AG24" s="14"/>
      <c r="AH24" s="14"/>
      <c r="AI24" s="14"/>
      <c r="AJ24" s="15"/>
      <c r="AK24" s="13"/>
      <c r="AL24" s="14"/>
      <c r="AM24" s="14"/>
      <c r="AN24" s="14"/>
      <c r="AO24" s="14"/>
      <c r="AP24" s="14"/>
      <c r="AQ24" s="14"/>
      <c r="AR24" s="15"/>
    </row>
    <row r="25" spans="1:44" ht="16" customHeight="1" x14ac:dyDescent="0.2">
      <c r="A25" s="60" t="s">
        <v>35</v>
      </c>
      <c r="B25" s="55" t="s">
        <v>23</v>
      </c>
      <c r="C25" s="24" t="s">
        <v>15</v>
      </c>
      <c r="D25" s="29">
        <f t="shared" ref="D25" si="8">COUNTIF(E25:AR25,"S")/24</f>
        <v>8.3333333333333329E-2</v>
      </c>
      <c r="E25" s="19"/>
      <c r="F25" s="1"/>
      <c r="G25" s="1"/>
      <c r="H25" s="1"/>
      <c r="I25" s="1"/>
      <c r="J25" s="1"/>
      <c r="K25" s="1"/>
      <c r="L25" s="20"/>
      <c r="M25" s="33"/>
      <c r="N25" s="9"/>
      <c r="O25" s="9"/>
      <c r="P25" s="9"/>
      <c r="Q25" s="9"/>
      <c r="R25" s="9"/>
      <c r="S25" s="9"/>
      <c r="T25" s="34"/>
      <c r="U25" s="19"/>
      <c r="V25" s="1"/>
      <c r="W25" s="1"/>
      <c r="X25" s="27" t="s">
        <v>11</v>
      </c>
      <c r="Y25" s="27" t="s">
        <v>11</v>
      </c>
      <c r="Z25" s="1"/>
      <c r="AA25" s="1"/>
      <c r="AB25" s="20"/>
      <c r="AC25" s="19"/>
      <c r="AD25" s="1"/>
      <c r="AE25" s="1"/>
      <c r="AF25" s="1"/>
      <c r="AG25" s="1"/>
      <c r="AH25" s="1"/>
      <c r="AI25" s="1"/>
      <c r="AJ25" s="20"/>
      <c r="AK25" s="19"/>
      <c r="AL25" s="1"/>
      <c r="AM25" s="1"/>
      <c r="AN25" s="1"/>
      <c r="AO25" s="1"/>
      <c r="AP25" s="1"/>
      <c r="AQ25" s="1"/>
      <c r="AR25" s="20"/>
    </row>
    <row r="26" spans="1:44" x14ac:dyDescent="0.2">
      <c r="A26" s="62"/>
      <c r="B26" s="56"/>
      <c r="C26" s="22" t="s">
        <v>2</v>
      </c>
      <c r="D26" s="29">
        <f t="shared" ref="D26" si="9">COUNTIF(E26:AR26,"i")/24</f>
        <v>8.3333333333333329E-2</v>
      </c>
      <c r="E26" s="7"/>
      <c r="F26" s="5"/>
      <c r="G26" s="5"/>
      <c r="H26" s="5"/>
      <c r="I26" s="5"/>
      <c r="J26" s="5"/>
      <c r="K26" s="5"/>
      <c r="L26" s="6"/>
      <c r="M26" s="33"/>
      <c r="N26" s="9"/>
      <c r="O26" s="9"/>
      <c r="P26" s="9"/>
      <c r="Q26" s="9"/>
      <c r="R26" s="9"/>
      <c r="S26" s="9"/>
      <c r="T26" s="34"/>
      <c r="U26" s="7"/>
      <c r="V26" s="5"/>
      <c r="W26" s="5"/>
      <c r="X26" s="5" t="s">
        <v>45</v>
      </c>
      <c r="Y26" s="5" t="s">
        <v>45</v>
      </c>
      <c r="Z26" s="5"/>
      <c r="AA26" s="5"/>
      <c r="AB26" s="6"/>
      <c r="AC26" s="7"/>
      <c r="AD26" s="5"/>
      <c r="AE26" s="5"/>
      <c r="AF26" s="5"/>
      <c r="AG26" s="5"/>
      <c r="AH26" s="5"/>
      <c r="AI26" s="5"/>
      <c r="AJ26" s="6"/>
      <c r="AK26" s="7"/>
      <c r="AL26" s="5"/>
      <c r="AM26" s="5"/>
      <c r="AN26" s="5"/>
      <c r="AO26" s="5"/>
      <c r="AP26" s="5"/>
      <c r="AQ26" s="5"/>
      <c r="AR26" s="6"/>
    </row>
    <row r="27" spans="1:44" ht="16" customHeight="1" x14ac:dyDescent="0.2">
      <c r="A27" s="62"/>
      <c r="B27" s="87" t="s">
        <v>24</v>
      </c>
      <c r="C27" s="21" t="s">
        <v>15</v>
      </c>
      <c r="D27" s="30">
        <f t="shared" ref="D27" si="10">COUNTIF(E27:AR27,"S")/24</f>
        <v>8.3333333333333329E-2</v>
      </c>
      <c r="E27" s="4"/>
      <c r="F27" s="2"/>
      <c r="G27" s="2"/>
      <c r="H27" s="2"/>
      <c r="I27" s="2"/>
      <c r="J27" s="2"/>
      <c r="K27" s="2"/>
      <c r="L27" s="3"/>
      <c r="M27" s="33"/>
      <c r="N27" s="9"/>
      <c r="O27" s="9"/>
      <c r="P27" s="9"/>
      <c r="Q27" s="9"/>
      <c r="R27" s="9"/>
      <c r="S27" s="9"/>
      <c r="T27" s="34"/>
      <c r="U27" s="4"/>
      <c r="V27" s="2"/>
      <c r="W27" s="2"/>
      <c r="X27" s="2"/>
      <c r="Y27" s="2"/>
      <c r="Z27" s="27" t="s">
        <v>11</v>
      </c>
      <c r="AA27" s="27" t="s">
        <v>11</v>
      </c>
      <c r="AB27" s="3"/>
      <c r="AC27" s="4"/>
      <c r="AD27" s="2"/>
      <c r="AE27" s="2"/>
      <c r="AF27" s="2"/>
      <c r="AG27" s="2"/>
      <c r="AH27" s="2"/>
      <c r="AI27" s="2"/>
      <c r="AJ27" s="3"/>
      <c r="AK27" s="4"/>
      <c r="AL27" s="2"/>
      <c r="AM27" s="2"/>
      <c r="AN27" s="2"/>
      <c r="AO27" s="2"/>
      <c r="AP27" s="2"/>
      <c r="AQ27" s="2"/>
      <c r="AR27" s="3"/>
    </row>
    <row r="28" spans="1:44" ht="17" thickBot="1" x14ac:dyDescent="0.25">
      <c r="A28" s="63"/>
      <c r="B28" s="59"/>
      <c r="C28" s="23" t="s">
        <v>2</v>
      </c>
      <c r="D28" s="30">
        <f t="shared" ref="D28" si="11">COUNTIF(E28:AR28,"i")/24</f>
        <v>8.3333333333333329E-2</v>
      </c>
      <c r="E28" s="13"/>
      <c r="F28" s="14"/>
      <c r="G28" s="14"/>
      <c r="H28" s="14"/>
      <c r="I28" s="14"/>
      <c r="J28" s="14"/>
      <c r="K28" s="14"/>
      <c r="L28" s="15"/>
      <c r="M28" s="33"/>
      <c r="N28" s="9"/>
      <c r="O28" s="9"/>
      <c r="P28" s="9"/>
      <c r="Q28" s="9"/>
      <c r="R28" s="9"/>
      <c r="S28" s="9"/>
      <c r="T28" s="34"/>
      <c r="U28" s="13"/>
      <c r="V28" s="14"/>
      <c r="W28" s="14"/>
      <c r="X28" s="14"/>
      <c r="Y28" s="14"/>
      <c r="Z28" s="14" t="s">
        <v>45</v>
      </c>
      <c r="AA28" s="14" t="s">
        <v>45</v>
      </c>
      <c r="AB28" s="15"/>
      <c r="AC28" s="13"/>
      <c r="AD28" s="14"/>
      <c r="AE28" s="14"/>
      <c r="AF28" s="14"/>
      <c r="AG28" s="14"/>
      <c r="AH28" s="14"/>
      <c r="AI28" s="14"/>
      <c r="AJ28" s="15"/>
      <c r="AK28" s="13"/>
      <c r="AL28" s="14"/>
      <c r="AM28" s="14"/>
      <c r="AN28" s="14"/>
      <c r="AO28" s="14"/>
      <c r="AP28" s="14"/>
      <c r="AQ28" s="14"/>
      <c r="AR28" s="15"/>
    </row>
    <row r="29" spans="1:44" x14ac:dyDescent="0.2">
      <c r="A29" s="60" t="s">
        <v>49</v>
      </c>
      <c r="B29" s="55" t="s">
        <v>25</v>
      </c>
      <c r="C29" s="24" t="s">
        <v>15</v>
      </c>
      <c r="D29" s="29">
        <f t="shared" ref="D29" si="12">COUNTIF(E29:AR29,"S")/24</f>
        <v>4.1666666666666664E-2</v>
      </c>
      <c r="E29" s="19"/>
      <c r="F29" s="1"/>
      <c r="G29" s="1"/>
      <c r="H29" s="1"/>
      <c r="I29" s="1"/>
      <c r="J29" s="1"/>
      <c r="K29" s="1"/>
      <c r="L29" s="20"/>
      <c r="M29" s="33"/>
      <c r="N29" s="9"/>
      <c r="O29" s="9"/>
      <c r="P29" s="9"/>
      <c r="Q29" s="9"/>
      <c r="R29" s="9"/>
      <c r="S29" s="9"/>
      <c r="T29" s="34"/>
      <c r="U29" s="19"/>
      <c r="V29" s="1"/>
      <c r="W29" s="1"/>
      <c r="X29" s="1"/>
      <c r="Y29" s="1"/>
      <c r="Z29" s="1"/>
      <c r="AA29" s="1"/>
      <c r="AB29" s="27" t="s">
        <v>11</v>
      </c>
      <c r="AC29" s="19"/>
      <c r="AD29" s="1"/>
      <c r="AE29" s="1"/>
      <c r="AF29" s="1"/>
      <c r="AG29" s="1"/>
      <c r="AH29" s="1"/>
      <c r="AI29" s="1"/>
      <c r="AJ29" s="20"/>
      <c r="AK29" s="19"/>
      <c r="AL29" s="1"/>
      <c r="AM29" s="1"/>
      <c r="AN29" s="1"/>
      <c r="AO29" s="1"/>
      <c r="AP29" s="1"/>
      <c r="AQ29" s="1"/>
      <c r="AR29" s="20"/>
    </row>
    <row r="30" spans="1:44" ht="17" thickBot="1" x14ac:dyDescent="0.25">
      <c r="A30" s="61"/>
      <c r="B30" s="59"/>
      <c r="C30" s="23" t="s">
        <v>2</v>
      </c>
      <c r="D30" s="29">
        <f t="shared" ref="D30" si="13">COUNTIF(E30:AR30,"i")/24</f>
        <v>4.1666666666666664E-2</v>
      </c>
      <c r="E30" s="13"/>
      <c r="F30" s="14"/>
      <c r="G30" s="14"/>
      <c r="H30" s="14"/>
      <c r="I30" s="14"/>
      <c r="J30" s="14"/>
      <c r="K30" s="14"/>
      <c r="L30" s="15"/>
      <c r="M30" s="33"/>
      <c r="N30" s="9"/>
      <c r="O30" s="9"/>
      <c r="P30" s="9"/>
      <c r="Q30" s="9"/>
      <c r="R30" s="9"/>
      <c r="S30" s="9"/>
      <c r="T30" s="34"/>
      <c r="U30" s="13"/>
      <c r="V30" s="14"/>
      <c r="W30" s="14"/>
      <c r="X30" s="14"/>
      <c r="Y30" s="14"/>
      <c r="Z30" s="14"/>
      <c r="AA30" s="14"/>
      <c r="AB30" s="15" t="s">
        <v>45</v>
      </c>
      <c r="AC30" s="13"/>
      <c r="AD30" s="14"/>
      <c r="AE30" s="14"/>
      <c r="AF30" s="14"/>
      <c r="AG30" s="14"/>
      <c r="AH30" s="14"/>
      <c r="AI30" s="14"/>
      <c r="AJ30" s="15"/>
      <c r="AK30" s="13"/>
      <c r="AL30" s="14"/>
      <c r="AM30" s="14"/>
      <c r="AN30" s="14"/>
      <c r="AO30" s="14"/>
      <c r="AP30" s="14"/>
      <c r="AQ30" s="14"/>
      <c r="AR30" s="15"/>
    </row>
    <row r="31" spans="1:44" ht="16" customHeight="1" x14ac:dyDescent="0.2">
      <c r="A31" s="60" t="s">
        <v>36</v>
      </c>
      <c r="B31" s="55" t="s">
        <v>26</v>
      </c>
      <c r="C31" s="24" t="s">
        <v>15</v>
      </c>
      <c r="D31" s="30">
        <f t="shared" ref="D31" si="14">COUNTIF(E31:AR31,"S")/24</f>
        <v>8.3333333333333329E-2</v>
      </c>
      <c r="E31" s="19"/>
      <c r="F31" s="1"/>
      <c r="G31" s="1"/>
      <c r="H31" s="1"/>
      <c r="I31" s="1"/>
      <c r="J31" s="1"/>
      <c r="K31" s="1"/>
      <c r="L31" s="20"/>
      <c r="M31" s="33"/>
      <c r="N31" s="9"/>
      <c r="O31" s="9"/>
      <c r="P31" s="9"/>
      <c r="Q31" s="9"/>
      <c r="R31" s="9"/>
      <c r="S31" s="9"/>
      <c r="T31" s="34"/>
      <c r="U31" s="19"/>
      <c r="V31" s="1"/>
      <c r="W31" s="1"/>
      <c r="X31" s="1"/>
      <c r="Y31" s="1"/>
      <c r="Z31" s="1"/>
      <c r="AA31" s="1"/>
      <c r="AB31" s="20"/>
      <c r="AC31" s="27" t="s">
        <v>11</v>
      </c>
      <c r="AD31" s="27" t="s">
        <v>11</v>
      </c>
      <c r="AE31" s="1"/>
      <c r="AF31" s="1"/>
      <c r="AG31" s="1"/>
      <c r="AH31" s="1"/>
      <c r="AI31" s="1"/>
      <c r="AJ31" s="20"/>
      <c r="AK31" s="19"/>
      <c r="AL31" s="1"/>
      <c r="AM31" s="1"/>
      <c r="AN31" s="1"/>
      <c r="AO31" s="1"/>
      <c r="AP31" s="1"/>
      <c r="AQ31" s="1"/>
      <c r="AR31" s="20"/>
    </row>
    <row r="32" spans="1:44" x14ac:dyDescent="0.2">
      <c r="A32" s="62"/>
      <c r="B32" s="56"/>
      <c r="C32" s="22" t="s">
        <v>2</v>
      </c>
      <c r="D32" s="30">
        <f t="shared" ref="D32" si="15">COUNTIF(E32:AR32,"i")/24</f>
        <v>8.3333333333333329E-2</v>
      </c>
      <c r="E32" s="7"/>
      <c r="F32" s="5"/>
      <c r="G32" s="5"/>
      <c r="H32" s="5"/>
      <c r="I32" s="5"/>
      <c r="J32" s="5"/>
      <c r="K32" s="5"/>
      <c r="L32" s="6"/>
      <c r="M32" s="33"/>
      <c r="N32" s="9"/>
      <c r="O32" s="9"/>
      <c r="P32" s="9"/>
      <c r="Q32" s="9"/>
      <c r="R32" s="9"/>
      <c r="S32" s="9"/>
      <c r="T32" s="34"/>
      <c r="U32" s="7"/>
      <c r="V32" s="5"/>
      <c r="W32" s="5"/>
      <c r="X32" s="5"/>
      <c r="Y32" s="5"/>
      <c r="Z32" s="5"/>
      <c r="AA32" s="5"/>
      <c r="AB32" s="6"/>
      <c r="AC32" s="7" t="s">
        <v>45</v>
      </c>
      <c r="AD32" s="5" t="s">
        <v>45</v>
      </c>
      <c r="AE32" s="5"/>
      <c r="AF32" s="5"/>
      <c r="AG32" s="5"/>
      <c r="AH32" s="5"/>
      <c r="AI32" s="5"/>
      <c r="AJ32" s="6"/>
      <c r="AK32" s="7"/>
      <c r="AL32" s="5"/>
      <c r="AM32" s="5"/>
      <c r="AN32" s="5"/>
      <c r="AO32" s="5"/>
      <c r="AP32" s="5"/>
      <c r="AQ32" s="5"/>
      <c r="AR32" s="6"/>
    </row>
    <row r="33" spans="1:44" ht="16" customHeight="1" x14ac:dyDescent="0.2">
      <c r="A33" s="62"/>
      <c r="B33" s="87" t="s">
        <v>27</v>
      </c>
      <c r="C33" s="21" t="s">
        <v>15</v>
      </c>
      <c r="D33" s="29">
        <f t="shared" ref="D33" si="16">COUNTIF(E33:AR33,"S")/24</f>
        <v>8.3333333333333329E-2</v>
      </c>
      <c r="E33" s="4"/>
      <c r="F33" s="2"/>
      <c r="G33" s="2"/>
      <c r="H33" s="2"/>
      <c r="I33" s="2"/>
      <c r="J33" s="2"/>
      <c r="K33" s="2"/>
      <c r="L33" s="3"/>
      <c r="M33" s="33"/>
      <c r="N33" s="9"/>
      <c r="O33" s="9"/>
      <c r="P33" s="9"/>
      <c r="Q33" s="9"/>
      <c r="R33" s="9"/>
      <c r="S33" s="9"/>
      <c r="T33" s="34"/>
      <c r="U33" s="4"/>
      <c r="V33" s="2"/>
      <c r="W33" s="2"/>
      <c r="X33" s="2"/>
      <c r="Y33" s="2"/>
      <c r="Z33" s="2"/>
      <c r="AA33" s="2"/>
      <c r="AB33" s="3"/>
      <c r="AC33" s="4"/>
      <c r="AD33" s="2"/>
      <c r="AE33" s="27" t="s">
        <v>11</v>
      </c>
      <c r="AF33" s="27" t="s">
        <v>11</v>
      </c>
      <c r="AG33" s="2"/>
      <c r="AH33" s="2"/>
      <c r="AI33" s="2"/>
      <c r="AJ33" s="3"/>
      <c r="AK33" s="4"/>
      <c r="AL33" s="2"/>
      <c r="AM33" s="2"/>
      <c r="AN33" s="2"/>
      <c r="AO33" s="2"/>
      <c r="AP33" s="2"/>
      <c r="AQ33" s="2"/>
      <c r="AR33" s="3"/>
    </row>
    <row r="34" spans="1:44" ht="17" thickBot="1" x14ac:dyDescent="0.25">
      <c r="A34" s="63"/>
      <c r="B34" s="59"/>
      <c r="C34" s="23" t="s">
        <v>2</v>
      </c>
      <c r="D34" s="29">
        <f t="shared" ref="D34" si="17">COUNTIF(E34:AR34,"i")/24</f>
        <v>8.3333333333333329E-2</v>
      </c>
      <c r="E34" s="13"/>
      <c r="F34" s="14"/>
      <c r="G34" s="14"/>
      <c r="H34" s="14"/>
      <c r="I34" s="14"/>
      <c r="J34" s="14"/>
      <c r="K34" s="14"/>
      <c r="L34" s="15"/>
      <c r="M34" s="33"/>
      <c r="N34" s="9"/>
      <c r="O34" s="9"/>
      <c r="P34" s="9"/>
      <c r="Q34" s="9"/>
      <c r="R34" s="9"/>
      <c r="S34" s="9"/>
      <c r="T34" s="34"/>
      <c r="U34" s="13"/>
      <c r="V34" s="14"/>
      <c r="W34" s="14"/>
      <c r="X34" s="14"/>
      <c r="Y34" s="14"/>
      <c r="Z34" s="14"/>
      <c r="AA34" s="14"/>
      <c r="AB34" s="15"/>
      <c r="AC34" s="13"/>
      <c r="AD34" s="14"/>
      <c r="AE34" s="14" t="s">
        <v>45</v>
      </c>
      <c r="AF34" s="14" t="s">
        <v>45</v>
      </c>
      <c r="AG34" s="14"/>
      <c r="AH34" s="14"/>
      <c r="AI34" s="14"/>
      <c r="AJ34" s="15"/>
      <c r="AK34" s="13"/>
      <c r="AL34" s="14"/>
      <c r="AM34" s="14"/>
      <c r="AN34" s="14"/>
      <c r="AO34" s="14"/>
      <c r="AP34" s="14"/>
      <c r="AQ34" s="14"/>
      <c r="AR34" s="15"/>
    </row>
    <row r="35" spans="1:44" x14ac:dyDescent="0.2">
      <c r="A35" s="60" t="s">
        <v>7</v>
      </c>
      <c r="B35" s="55" t="s">
        <v>28</v>
      </c>
      <c r="C35" s="24" t="s">
        <v>15</v>
      </c>
      <c r="D35" s="30">
        <f t="shared" ref="D35" si="18">COUNTIF(E35:AR35,"S")/24</f>
        <v>8.3333333333333329E-2</v>
      </c>
      <c r="E35" s="19"/>
      <c r="F35" s="1"/>
      <c r="G35" s="1"/>
      <c r="H35" s="1"/>
      <c r="I35" s="1"/>
      <c r="J35" s="1"/>
      <c r="K35" s="1"/>
      <c r="L35" s="20"/>
      <c r="M35" s="33"/>
      <c r="N35" s="9"/>
      <c r="O35" s="9"/>
      <c r="P35" s="9"/>
      <c r="Q35" s="9"/>
      <c r="R35" s="9"/>
      <c r="S35" s="9"/>
      <c r="T35" s="34"/>
      <c r="U35" s="19"/>
      <c r="V35" s="1"/>
      <c r="W35" s="1"/>
      <c r="X35" s="1"/>
      <c r="Y35" s="1"/>
      <c r="Z35" s="1"/>
      <c r="AA35" s="1"/>
      <c r="AB35" s="20"/>
      <c r="AC35" s="19"/>
      <c r="AD35" s="1"/>
      <c r="AE35" s="1"/>
      <c r="AF35" s="1"/>
      <c r="AG35" s="27" t="s">
        <v>11</v>
      </c>
      <c r="AH35" s="27" t="s">
        <v>11</v>
      </c>
      <c r="AI35" s="1"/>
      <c r="AJ35" s="20"/>
      <c r="AK35" s="19"/>
      <c r="AL35" s="1"/>
      <c r="AM35" s="1"/>
      <c r="AN35" s="1"/>
      <c r="AO35" s="1"/>
      <c r="AP35" s="1"/>
      <c r="AQ35" s="1"/>
      <c r="AR35" s="20"/>
    </row>
    <row r="36" spans="1:44" ht="17" thickBot="1" x14ac:dyDescent="0.25">
      <c r="A36" s="61"/>
      <c r="B36" s="59"/>
      <c r="C36" s="23" t="s">
        <v>2</v>
      </c>
      <c r="D36" s="30">
        <f t="shared" ref="D36" si="19">COUNTIF(E36:AR36,"i")/24</f>
        <v>8.3333333333333329E-2</v>
      </c>
      <c r="E36" s="13"/>
      <c r="F36" s="14"/>
      <c r="G36" s="14"/>
      <c r="H36" s="14"/>
      <c r="I36" s="14"/>
      <c r="J36" s="14"/>
      <c r="K36" s="14"/>
      <c r="L36" s="15"/>
      <c r="M36" s="33"/>
      <c r="N36" s="9"/>
      <c r="O36" s="9"/>
      <c r="P36" s="9"/>
      <c r="Q36" s="9"/>
      <c r="R36" s="9"/>
      <c r="S36" s="9"/>
      <c r="T36" s="34"/>
      <c r="U36" s="13"/>
      <c r="V36" s="14"/>
      <c r="W36" s="14"/>
      <c r="X36" s="14"/>
      <c r="Y36" s="14"/>
      <c r="Z36" s="14"/>
      <c r="AA36" s="14"/>
      <c r="AB36" s="15"/>
      <c r="AC36" s="13"/>
      <c r="AD36" s="14"/>
      <c r="AE36" s="14"/>
      <c r="AF36" s="14"/>
      <c r="AG36" s="14" t="s">
        <v>45</v>
      </c>
      <c r="AH36" s="14" t="s">
        <v>45</v>
      </c>
      <c r="AI36" s="14"/>
      <c r="AJ36" s="15"/>
      <c r="AK36" s="13"/>
      <c r="AL36" s="14"/>
      <c r="AM36" s="14"/>
      <c r="AN36" s="14"/>
      <c r="AO36" s="14"/>
      <c r="AP36" s="14"/>
      <c r="AQ36" s="14"/>
      <c r="AR36" s="15"/>
    </row>
    <row r="37" spans="1:44" x14ac:dyDescent="0.2">
      <c r="A37" s="60" t="s">
        <v>37</v>
      </c>
      <c r="B37" s="55" t="s">
        <v>29</v>
      </c>
      <c r="C37" s="24" t="s">
        <v>15</v>
      </c>
      <c r="D37" s="29">
        <f t="shared" ref="D37" si="20">COUNTIF(E37:AR37,"S")/24</f>
        <v>8.3333333333333329E-2</v>
      </c>
      <c r="E37" s="19"/>
      <c r="F37" s="1"/>
      <c r="G37" s="1"/>
      <c r="H37" s="1"/>
      <c r="I37" s="1"/>
      <c r="J37" s="1"/>
      <c r="K37" s="1"/>
      <c r="L37" s="20"/>
      <c r="M37" s="33"/>
      <c r="N37" s="9"/>
      <c r="O37" s="9"/>
      <c r="P37" s="9"/>
      <c r="Q37" s="9"/>
      <c r="R37" s="9"/>
      <c r="S37" s="9"/>
      <c r="T37" s="34"/>
      <c r="U37" s="19"/>
      <c r="V37" s="1"/>
      <c r="W37" s="1"/>
      <c r="X37" s="1"/>
      <c r="Y37" s="1"/>
      <c r="Z37" s="1"/>
      <c r="AA37" s="1"/>
      <c r="AB37" s="20"/>
      <c r="AC37" s="19"/>
      <c r="AD37" s="1"/>
      <c r="AE37" s="1"/>
      <c r="AF37" s="1"/>
      <c r="AG37" s="1"/>
      <c r="AH37" s="1"/>
      <c r="AI37" s="27" t="s">
        <v>11</v>
      </c>
      <c r="AJ37" s="27" t="s">
        <v>11</v>
      </c>
      <c r="AK37" s="19"/>
      <c r="AL37" s="1"/>
      <c r="AM37" s="1"/>
      <c r="AN37" s="1"/>
      <c r="AO37" s="1"/>
      <c r="AP37" s="1"/>
      <c r="AQ37" s="1"/>
      <c r="AR37" s="20"/>
    </row>
    <row r="38" spans="1:44" ht="17" thickBot="1" x14ac:dyDescent="0.25">
      <c r="A38" s="61"/>
      <c r="B38" s="59"/>
      <c r="C38" s="23" t="s">
        <v>2</v>
      </c>
      <c r="D38" s="29">
        <f t="shared" ref="D38" si="21">COUNTIF(E38:AR38,"i")/24</f>
        <v>8.3333333333333329E-2</v>
      </c>
      <c r="E38" s="13"/>
      <c r="F38" s="14"/>
      <c r="G38" s="14"/>
      <c r="H38" s="14"/>
      <c r="I38" s="14"/>
      <c r="J38" s="14"/>
      <c r="K38" s="14"/>
      <c r="L38" s="15"/>
      <c r="M38" s="33"/>
      <c r="N38" s="9"/>
      <c r="O38" s="9"/>
      <c r="P38" s="9"/>
      <c r="Q38" s="9"/>
      <c r="R38" s="9"/>
      <c r="S38" s="9"/>
      <c r="T38" s="34"/>
      <c r="U38" s="13"/>
      <c r="V38" s="14"/>
      <c r="W38" s="14"/>
      <c r="X38" s="14"/>
      <c r="Y38" s="14"/>
      <c r="Z38" s="14"/>
      <c r="AA38" s="14"/>
      <c r="AB38" s="15"/>
      <c r="AC38" s="13"/>
      <c r="AD38" s="14"/>
      <c r="AE38" s="14"/>
      <c r="AF38" s="14"/>
      <c r="AG38" s="14"/>
      <c r="AH38" s="14"/>
      <c r="AI38" s="14" t="s">
        <v>45</v>
      </c>
      <c r="AJ38" s="15" t="s">
        <v>45</v>
      </c>
      <c r="AK38" s="13"/>
      <c r="AL38" s="14"/>
      <c r="AM38" s="14"/>
      <c r="AN38" s="14"/>
      <c r="AO38" s="14"/>
      <c r="AP38" s="14"/>
      <c r="AQ38" s="14"/>
      <c r="AR38" s="15"/>
    </row>
    <row r="39" spans="1:44" ht="16" customHeight="1" x14ac:dyDescent="0.2">
      <c r="A39" s="60" t="s">
        <v>38</v>
      </c>
      <c r="B39" s="55" t="s">
        <v>30</v>
      </c>
      <c r="C39" s="24" t="s">
        <v>15</v>
      </c>
      <c r="D39" s="30">
        <f t="shared" ref="D39" si="22">COUNTIF(E39:AR39,"S")/24</f>
        <v>0.16666666666666666</v>
      </c>
      <c r="E39" s="19"/>
      <c r="F39" s="1"/>
      <c r="G39" s="1"/>
      <c r="H39" s="1"/>
      <c r="I39" s="1"/>
      <c r="J39" s="1"/>
      <c r="K39" s="1"/>
      <c r="L39" s="20"/>
      <c r="M39" s="33"/>
      <c r="N39" s="9"/>
      <c r="O39" s="9"/>
      <c r="P39" s="9"/>
      <c r="Q39" s="9"/>
      <c r="R39" s="9"/>
      <c r="S39" s="9"/>
      <c r="T39" s="34"/>
      <c r="U39" s="19"/>
      <c r="V39" s="1"/>
      <c r="W39" s="1"/>
      <c r="X39" s="1"/>
      <c r="Y39" s="1"/>
      <c r="Z39" s="1"/>
      <c r="AA39" s="1"/>
      <c r="AB39" s="20"/>
      <c r="AC39" s="19"/>
      <c r="AD39" s="1"/>
      <c r="AE39" s="1"/>
      <c r="AF39" s="1"/>
      <c r="AG39" s="1"/>
      <c r="AH39" s="1"/>
      <c r="AI39" s="1"/>
      <c r="AJ39" s="20"/>
      <c r="AK39" s="27" t="s">
        <v>11</v>
      </c>
      <c r="AL39" s="27" t="s">
        <v>11</v>
      </c>
      <c r="AM39" s="27" t="s">
        <v>11</v>
      </c>
      <c r="AN39" s="27" t="s">
        <v>11</v>
      </c>
      <c r="AO39" s="1"/>
      <c r="AP39" s="1"/>
      <c r="AQ39" s="1"/>
      <c r="AR39" s="20"/>
    </row>
    <row r="40" spans="1:44" x14ac:dyDescent="0.2">
      <c r="A40" s="62"/>
      <c r="B40" s="56"/>
      <c r="C40" s="22" t="s">
        <v>2</v>
      </c>
      <c r="D40" s="30">
        <f t="shared" ref="D40" si="23">COUNTIF(E40:AR40,"i")/24</f>
        <v>0.16666666666666666</v>
      </c>
      <c r="E40" s="7"/>
      <c r="F40" s="5"/>
      <c r="G40" s="5"/>
      <c r="H40" s="5"/>
      <c r="I40" s="5"/>
      <c r="J40" s="5"/>
      <c r="K40" s="5"/>
      <c r="L40" s="6"/>
      <c r="M40" s="33"/>
      <c r="N40" s="9"/>
      <c r="O40" s="9"/>
      <c r="P40" s="9"/>
      <c r="Q40" s="9"/>
      <c r="R40" s="9"/>
      <c r="S40" s="9"/>
      <c r="T40" s="34"/>
      <c r="U40" s="7"/>
      <c r="V40" s="5"/>
      <c r="W40" s="5"/>
      <c r="X40" s="5"/>
      <c r="Y40" s="5"/>
      <c r="Z40" s="5"/>
      <c r="AA40" s="5"/>
      <c r="AB40" s="6"/>
      <c r="AC40" s="7"/>
      <c r="AD40" s="5"/>
      <c r="AE40" s="5"/>
      <c r="AF40" s="5"/>
      <c r="AG40" s="5"/>
      <c r="AH40" s="5"/>
      <c r="AI40" s="5"/>
      <c r="AJ40" s="6"/>
      <c r="AK40" s="7" t="s">
        <v>45</v>
      </c>
      <c r="AL40" s="5" t="s">
        <v>45</v>
      </c>
      <c r="AM40" s="5" t="s">
        <v>45</v>
      </c>
      <c r="AN40" s="5" t="s">
        <v>45</v>
      </c>
      <c r="AO40" s="5"/>
      <c r="AP40" s="5"/>
      <c r="AQ40" s="5"/>
      <c r="AR40" s="6"/>
    </row>
    <row r="41" spans="1:44" ht="16" customHeight="1" x14ac:dyDescent="0.2">
      <c r="A41" s="62"/>
      <c r="B41" s="87" t="s">
        <v>31</v>
      </c>
      <c r="C41" s="21" t="s">
        <v>15</v>
      </c>
      <c r="D41" s="29">
        <f t="shared" ref="D41" si="24">COUNTIF(E41:AR41,"S")/24</f>
        <v>8.3333333333333329E-2</v>
      </c>
      <c r="E41" s="4"/>
      <c r="F41" s="2"/>
      <c r="G41" s="2"/>
      <c r="H41" s="2"/>
      <c r="I41" s="2"/>
      <c r="J41" s="2"/>
      <c r="K41" s="2"/>
      <c r="L41" s="3"/>
      <c r="M41" s="33"/>
      <c r="N41" s="9"/>
      <c r="O41" s="9"/>
      <c r="P41" s="9"/>
      <c r="Q41" s="9"/>
      <c r="R41" s="9"/>
      <c r="S41" s="9"/>
      <c r="T41" s="34"/>
      <c r="U41" s="4"/>
      <c r="V41" s="2"/>
      <c r="W41" s="2"/>
      <c r="X41" s="2"/>
      <c r="Y41" s="2"/>
      <c r="Z41" s="2"/>
      <c r="AA41" s="2"/>
      <c r="AB41" s="3"/>
      <c r="AC41" s="4"/>
      <c r="AD41" s="2"/>
      <c r="AE41" s="2"/>
      <c r="AF41" s="2"/>
      <c r="AG41" s="2"/>
      <c r="AH41" s="2"/>
      <c r="AI41" s="2"/>
      <c r="AJ41" s="3"/>
      <c r="AK41" s="4"/>
      <c r="AL41" s="2"/>
      <c r="AM41" s="2"/>
      <c r="AN41" s="2"/>
      <c r="AO41" s="27" t="s">
        <v>11</v>
      </c>
      <c r="AP41" s="27" t="s">
        <v>11</v>
      </c>
      <c r="AQ41" s="2"/>
      <c r="AR41" s="3"/>
    </row>
    <row r="42" spans="1:44" ht="17" thickBot="1" x14ac:dyDescent="0.25">
      <c r="A42" s="63"/>
      <c r="B42" s="59"/>
      <c r="C42" s="23" t="s">
        <v>2</v>
      </c>
      <c r="D42" s="29">
        <f t="shared" ref="D42" si="25">COUNTIF(E42:AR42,"i")/24</f>
        <v>8.3333333333333329E-2</v>
      </c>
      <c r="E42" s="13"/>
      <c r="F42" s="14"/>
      <c r="G42" s="14"/>
      <c r="H42" s="14"/>
      <c r="I42" s="14"/>
      <c r="J42" s="14"/>
      <c r="K42" s="14"/>
      <c r="L42" s="15"/>
      <c r="M42" s="33"/>
      <c r="N42" s="9"/>
      <c r="O42" s="9"/>
      <c r="P42" s="9"/>
      <c r="Q42" s="9"/>
      <c r="R42" s="9"/>
      <c r="S42" s="9"/>
      <c r="T42" s="34"/>
      <c r="U42" s="13"/>
      <c r="V42" s="14"/>
      <c r="W42" s="14"/>
      <c r="X42" s="14"/>
      <c r="Y42" s="14"/>
      <c r="Z42" s="14"/>
      <c r="AA42" s="14"/>
      <c r="AB42" s="15"/>
      <c r="AC42" s="13"/>
      <c r="AD42" s="14"/>
      <c r="AE42" s="14"/>
      <c r="AF42" s="14"/>
      <c r="AG42" s="14"/>
      <c r="AH42" s="14"/>
      <c r="AI42" s="14"/>
      <c r="AJ42" s="15"/>
      <c r="AK42" s="13"/>
      <c r="AL42" s="14"/>
      <c r="AM42" s="14"/>
      <c r="AN42" s="14"/>
      <c r="AO42" s="14" t="s">
        <v>45</v>
      </c>
      <c r="AP42" s="14" t="s">
        <v>45</v>
      </c>
      <c r="AQ42" s="14"/>
      <c r="AR42" s="15"/>
    </row>
    <row r="43" spans="1:44" x14ac:dyDescent="0.2">
      <c r="A43" s="60" t="s">
        <v>64</v>
      </c>
      <c r="B43" s="55" t="s">
        <v>32</v>
      </c>
      <c r="C43" s="24" t="s">
        <v>15</v>
      </c>
      <c r="D43" s="30">
        <f t="shared" ref="D43" si="26">COUNTIF(E43:AR43,"S")/24</f>
        <v>4.1666666666666664E-2</v>
      </c>
      <c r="E43" s="19"/>
      <c r="F43" s="1"/>
      <c r="G43" s="1"/>
      <c r="H43" s="1"/>
      <c r="I43" s="1"/>
      <c r="J43" s="1"/>
      <c r="K43" s="1"/>
      <c r="L43" s="20"/>
      <c r="M43" s="33"/>
      <c r="N43" s="9"/>
      <c r="O43" s="9"/>
      <c r="P43" s="9"/>
      <c r="Q43" s="9"/>
      <c r="R43" s="9"/>
      <c r="S43" s="9"/>
      <c r="T43" s="34"/>
      <c r="U43" s="19"/>
      <c r="V43" s="1"/>
      <c r="W43" s="1"/>
      <c r="X43" s="1"/>
      <c r="Y43" s="1"/>
      <c r="Z43" s="1"/>
      <c r="AA43" s="1"/>
      <c r="AB43" s="20"/>
      <c r="AC43" s="19"/>
      <c r="AD43" s="1"/>
      <c r="AE43" s="1"/>
      <c r="AF43" s="1"/>
      <c r="AG43" s="1"/>
      <c r="AH43" s="1"/>
      <c r="AI43" s="1"/>
      <c r="AJ43" s="20"/>
      <c r="AK43" s="19"/>
      <c r="AL43" s="1"/>
      <c r="AM43" s="1"/>
      <c r="AN43" s="1"/>
      <c r="AO43" s="1"/>
      <c r="AP43" s="1"/>
      <c r="AQ43" s="27" t="s">
        <v>11</v>
      </c>
      <c r="AR43" s="20"/>
    </row>
    <row r="44" spans="1:44" ht="17" thickBot="1" x14ac:dyDescent="0.25">
      <c r="A44" s="61"/>
      <c r="B44" s="59"/>
      <c r="C44" s="23" t="s">
        <v>2</v>
      </c>
      <c r="D44" s="30">
        <f t="shared" ref="D44" si="27">COUNTIF(E44:AR44,"i")/24</f>
        <v>4.1666666666666664E-2</v>
      </c>
      <c r="E44" s="13"/>
      <c r="F44" s="14"/>
      <c r="G44" s="14"/>
      <c r="H44" s="14"/>
      <c r="I44" s="14"/>
      <c r="J44" s="14"/>
      <c r="K44" s="14"/>
      <c r="L44" s="15"/>
      <c r="M44" s="33"/>
      <c r="N44" s="9"/>
      <c r="O44" s="9"/>
      <c r="P44" s="9"/>
      <c r="Q44" s="9"/>
      <c r="R44" s="9"/>
      <c r="S44" s="9"/>
      <c r="T44" s="34"/>
      <c r="U44" s="13"/>
      <c r="V44" s="14"/>
      <c r="W44" s="14"/>
      <c r="X44" s="14"/>
      <c r="Y44" s="14"/>
      <c r="Z44" s="14"/>
      <c r="AA44" s="14"/>
      <c r="AB44" s="15"/>
      <c r="AC44" s="13"/>
      <c r="AD44" s="14"/>
      <c r="AE44" s="14"/>
      <c r="AF44" s="14"/>
      <c r="AG44" s="14"/>
      <c r="AH44" s="14"/>
      <c r="AI44" s="14"/>
      <c r="AJ44" s="15"/>
      <c r="AK44" s="13"/>
      <c r="AL44" s="14"/>
      <c r="AM44" s="14"/>
      <c r="AN44" s="14"/>
      <c r="AO44" s="14"/>
      <c r="AP44" s="14"/>
      <c r="AQ44" s="14" t="s">
        <v>45</v>
      </c>
      <c r="AR44" s="15"/>
    </row>
    <row r="45" spans="1:44" x14ac:dyDescent="0.2">
      <c r="A45" s="60" t="s">
        <v>54</v>
      </c>
      <c r="B45" s="55" t="s">
        <v>51</v>
      </c>
      <c r="C45" s="24" t="s">
        <v>15</v>
      </c>
      <c r="D45" s="29">
        <f t="shared" ref="D45" si="28">COUNTIF(E45:AR45,"S")/24</f>
        <v>4.1666666666666664E-2</v>
      </c>
      <c r="E45" s="19"/>
      <c r="F45" s="1"/>
      <c r="G45" s="1"/>
      <c r="H45" s="1"/>
      <c r="I45" s="1"/>
      <c r="J45" s="1"/>
      <c r="K45" s="1"/>
      <c r="L45" s="20"/>
      <c r="M45" s="33"/>
      <c r="N45" s="9"/>
      <c r="O45" s="9"/>
      <c r="P45" s="9"/>
      <c r="Q45" s="9"/>
      <c r="R45" s="9"/>
      <c r="S45" s="9"/>
      <c r="T45" s="34"/>
      <c r="U45" s="10"/>
      <c r="V45" s="11"/>
      <c r="W45" s="11"/>
      <c r="X45" s="11"/>
      <c r="Y45" s="11"/>
      <c r="Z45" s="11"/>
      <c r="AA45" s="11"/>
      <c r="AB45" s="12"/>
      <c r="AC45" s="10"/>
      <c r="AD45" s="11"/>
      <c r="AE45" s="11"/>
      <c r="AF45" s="11"/>
      <c r="AG45" s="11"/>
      <c r="AH45" s="11"/>
      <c r="AI45" s="11"/>
      <c r="AJ45" s="12"/>
      <c r="AK45" s="10"/>
      <c r="AL45" s="11"/>
      <c r="AM45" s="11"/>
      <c r="AN45" s="11"/>
      <c r="AO45" s="11"/>
      <c r="AP45" s="11"/>
      <c r="AQ45" s="11"/>
      <c r="AR45" s="20" t="s">
        <v>11</v>
      </c>
    </row>
    <row r="46" spans="1:44" ht="17" thickBot="1" x14ac:dyDescent="0.25">
      <c r="A46" s="61"/>
      <c r="B46" s="59"/>
      <c r="C46" s="23" t="s">
        <v>2</v>
      </c>
      <c r="D46" s="29">
        <f t="shared" ref="D46" si="29">COUNTIF(E46:AR46,"i")/24</f>
        <v>4.1666666666666664E-2</v>
      </c>
      <c r="E46" s="13"/>
      <c r="F46" s="14"/>
      <c r="G46" s="14"/>
      <c r="H46" s="14"/>
      <c r="I46" s="14"/>
      <c r="J46" s="14"/>
      <c r="K46" s="14"/>
      <c r="L46" s="15"/>
      <c r="M46" s="33"/>
      <c r="N46" s="9"/>
      <c r="O46" s="9"/>
      <c r="P46" s="9"/>
      <c r="Q46" s="9"/>
      <c r="R46" s="9"/>
      <c r="S46" s="9"/>
      <c r="T46" s="34"/>
      <c r="U46" s="13"/>
      <c r="V46" s="14"/>
      <c r="W46" s="14"/>
      <c r="X46" s="14"/>
      <c r="Y46" s="14"/>
      <c r="Z46" s="14"/>
      <c r="AA46" s="14"/>
      <c r="AB46" s="15"/>
      <c r="AC46" s="13"/>
      <c r="AD46" s="14"/>
      <c r="AE46" s="14"/>
      <c r="AF46" s="14"/>
      <c r="AG46" s="14"/>
      <c r="AH46" s="14"/>
      <c r="AI46" s="14"/>
      <c r="AJ46" s="15"/>
      <c r="AK46" s="13"/>
      <c r="AL46" s="14"/>
      <c r="AM46" s="14"/>
      <c r="AN46" s="14"/>
      <c r="AO46" s="14"/>
      <c r="AP46" s="14"/>
      <c r="AQ46" s="14"/>
      <c r="AR46" s="15" t="s">
        <v>45</v>
      </c>
    </row>
    <row r="47" spans="1:44" x14ac:dyDescent="0.2">
      <c r="A47" s="82" t="s">
        <v>39</v>
      </c>
      <c r="B47" s="82"/>
      <c r="C47" s="24" t="s">
        <v>15</v>
      </c>
      <c r="D47" s="44">
        <f>SUMIF($C$5:$C$46,"should",$D$5:$D$46)</f>
        <v>1.3333333333333335</v>
      </c>
      <c r="E47" s="66">
        <f>COUNTIF(E5:L46,"s")/24</f>
        <v>0.375</v>
      </c>
      <c r="F47" s="67"/>
      <c r="G47" s="67"/>
      <c r="H47" s="67"/>
      <c r="I47" s="67"/>
      <c r="J47" s="67"/>
      <c r="K47" s="67"/>
      <c r="L47" s="68"/>
      <c r="M47" s="33"/>
      <c r="N47" s="9"/>
      <c r="O47" s="9"/>
      <c r="P47" s="9"/>
      <c r="Q47" s="9"/>
      <c r="R47" s="9"/>
      <c r="S47" s="9"/>
      <c r="T47" s="34"/>
      <c r="U47" s="66">
        <f>COUNTIF(U5:AB46,"s")/24</f>
        <v>0.375</v>
      </c>
      <c r="V47" s="67"/>
      <c r="W47" s="67"/>
      <c r="X47" s="67"/>
      <c r="Y47" s="67"/>
      <c r="Z47" s="67"/>
      <c r="AA47" s="67"/>
      <c r="AB47" s="68"/>
      <c r="AC47" s="66">
        <f>COUNTIF(AC5:AJ46,"s")/24</f>
        <v>0.375</v>
      </c>
      <c r="AD47" s="67"/>
      <c r="AE47" s="67"/>
      <c r="AF47" s="67"/>
      <c r="AG47" s="67"/>
      <c r="AH47" s="67"/>
      <c r="AI47" s="67"/>
      <c r="AJ47" s="68"/>
      <c r="AK47" s="66">
        <f>COUNTIF(AK5:AR46,"s")/24</f>
        <v>0.375</v>
      </c>
      <c r="AL47" s="67"/>
      <c r="AM47" s="67"/>
      <c r="AN47" s="67"/>
      <c r="AO47" s="67"/>
      <c r="AP47" s="67"/>
      <c r="AQ47" s="67"/>
      <c r="AR47" s="68"/>
    </row>
    <row r="48" spans="1:44" ht="17" thickBot="1" x14ac:dyDescent="0.25">
      <c r="A48" s="83"/>
      <c r="B48" s="83"/>
      <c r="C48" s="23" t="s">
        <v>2</v>
      </c>
      <c r="D48" s="45">
        <f>SUMIF($C$5:$C$46,"is",$D$5:$D$46)</f>
        <v>1.5</v>
      </c>
      <c r="E48" s="84">
        <f>COUNTIF(E5:L46,"i")/24</f>
        <v>0.375</v>
      </c>
      <c r="F48" s="85"/>
      <c r="G48" s="85"/>
      <c r="H48" s="85"/>
      <c r="I48" s="85"/>
      <c r="J48" s="85"/>
      <c r="K48" s="85"/>
      <c r="L48" s="86"/>
      <c r="M48" s="35"/>
      <c r="N48" s="36"/>
      <c r="O48" s="36"/>
      <c r="P48" s="36"/>
      <c r="Q48" s="36"/>
      <c r="R48" s="36"/>
      <c r="S48" s="36"/>
      <c r="T48" s="37"/>
      <c r="U48" s="69">
        <f>COUNTIF(U5:AB46,"i")/24</f>
        <v>0.375</v>
      </c>
      <c r="V48" s="70"/>
      <c r="W48" s="70"/>
      <c r="X48" s="70"/>
      <c r="Y48" s="70"/>
      <c r="Z48" s="70"/>
      <c r="AA48" s="70"/>
      <c r="AB48" s="71"/>
      <c r="AC48" s="69">
        <f>COUNTIF(AC5:AJ46,"i")/24</f>
        <v>0.375</v>
      </c>
      <c r="AD48" s="70"/>
      <c r="AE48" s="70"/>
      <c r="AF48" s="70"/>
      <c r="AG48" s="70"/>
      <c r="AH48" s="70"/>
      <c r="AI48" s="70"/>
      <c r="AJ48" s="71"/>
      <c r="AK48" s="69">
        <f>COUNTIF(AK5:AR46,"i")/24</f>
        <v>0.375</v>
      </c>
      <c r="AL48" s="70"/>
      <c r="AM48" s="70"/>
      <c r="AN48" s="70"/>
      <c r="AO48" s="70"/>
      <c r="AP48" s="70"/>
      <c r="AQ48" s="70"/>
      <c r="AR48" s="71"/>
    </row>
    <row r="49" spans="1:11" x14ac:dyDescent="0.2">
      <c r="E49" s="1" t="s">
        <v>11</v>
      </c>
      <c r="F49" s="64" t="s">
        <v>57</v>
      </c>
      <c r="G49" s="65"/>
      <c r="I49" s="5" t="s">
        <v>45</v>
      </c>
      <c r="J49" s="64" t="s">
        <v>2</v>
      </c>
      <c r="K49" s="65"/>
    </row>
    <row r="50" spans="1:11" ht="17" thickBot="1" x14ac:dyDescent="0.25"/>
    <row r="51" spans="1:11" ht="19" x14ac:dyDescent="0.25">
      <c r="A51" s="72" t="s">
        <v>47</v>
      </c>
      <c r="B51" s="73"/>
    </row>
    <row r="52" spans="1:11" x14ac:dyDescent="0.2">
      <c r="A52" s="46" t="s">
        <v>0</v>
      </c>
      <c r="B52" s="47" t="s">
        <v>46</v>
      </c>
    </row>
    <row r="53" spans="1:11" x14ac:dyDescent="0.2">
      <c r="A53" s="46" t="s">
        <v>66</v>
      </c>
      <c r="B53" s="54" t="s">
        <v>65</v>
      </c>
    </row>
  </sheetData>
  <mergeCells count="65">
    <mergeCell ref="M4:T4"/>
    <mergeCell ref="U4:AB4"/>
    <mergeCell ref="M3:T3"/>
    <mergeCell ref="U3:AB3"/>
    <mergeCell ref="M2:T2"/>
    <mergeCell ref="AC3:AJ3"/>
    <mergeCell ref="AC4:AJ4"/>
    <mergeCell ref="AK3:AR3"/>
    <mergeCell ref="AK4:AR4"/>
    <mergeCell ref="U2:AR2"/>
    <mergeCell ref="A37:A38"/>
    <mergeCell ref="A17:A18"/>
    <mergeCell ref="E2:L2"/>
    <mergeCell ref="E3:L3"/>
    <mergeCell ref="E4:L4"/>
    <mergeCell ref="B5:B6"/>
    <mergeCell ref="B7:B8"/>
    <mergeCell ref="C4:D4"/>
    <mergeCell ref="A5:A8"/>
    <mergeCell ref="B9:B10"/>
    <mergeCell ref="A9:A12"/>
    <mergeCell ref="A25:A28"/>
    <mergeCell ref="A31:A34"/>
    <mergeCell ref="A19:A20"/>
    <mergeCell ref="B17:B18"/>
    <mergeCell ref="B19:B20"/>
    <mergeCell ref="B21:B22"/>
    <mergeCell ref="B23:B24"/>
    <mergeCell ref="AK47:AR47"/>
    <mergeCell ref="AC48:AJ48"/>
    <mergeCell ref="AK48:AR48"/>
    <mergeCell ref="A51:B51"/>
    <mergeCell ref="A1:A4"/>
    <mergeCell ref="B1:B4"/>
    <mergeCell ref="C1:D3"/>
    <mergeCell ref="E1:AR1"/>
    <mergeCell ref="B11:B12"/>
    <mergeCell ref="A47:B48"/>
    <mergeCell ref="E47:L47"/>
    <mergeCell ref="E48:L48"/>
    <mergeCell ref="U47:AB47"/>
    <mergeCell ref="U48:AB48"/>
    <mergeCell ref="B39:B40"/>
    <mergeCell ref="B41:B42"/>
    <mergeCell ref="F49:G49"/>
    <mergeCell ref="J49:K49"/>
    <mergeCell ref="AC47:AJ47"/>
    <mergeCell ref="B43:B44"/>
    <mergeCell ref="B45:B46"/>
    <mergeCell ref="B25:B26"/>
    <mergeCell ref="B13:B14"/>
    <mergeCell ref="B15:B16"/>
    <mergeCell ref="A43:A44"/>
    <mergeCell ref="A45:A46"/>
    <mergeCell ref="A39:A42"/>
    <mergeCell ref="B35:B36"/>
    <mergeCell ref="A35:A36"/>
    <mergeCell ref="B37:B38"/>
    <mergeCell ref="A13:A16"/>
    <mergeCell ref="A21:A24"/>
    <mergeCell ref="B27:B28"/>
    <mergeCell ref="A29:A30"/>
    <mergeCell ref="B29:B30"/>
    <mergeCell ref="B31:B32"/>
    <mergeCell ref="B33:B34"/>
  </mergeCells>
  <phoneticPr fontId="6" type="noConversion"/>
  <conditionalFormatting sqref="E3:E4">
    <cfRule type="expression" dxfId="15" priority="132">
      <formula>LEFT(E$3, 3)&lt;&gt;"Tag"</formula>
    </cfRule>
  </conditionalFormatting>
  <conditionalFormatting sqref="E47:E49">
    <cfRule type="containsText" dxfId="14" priority="61" operator="containsText" text="s">
      <formula>NOT(ISERROR(SEARCH(("s"),(E47))))</formula>
    </cfRule>
    <cfRule type="cellIs" dxfId="13" priority="62" operator="equal">
      <formula>"i"</formula>
    </cfRule>
  </conditionalFormatting>
  <conditionalFormatting sqref="E5:L46">
    <cfRule type="containsText" dxfId="12" priority="65" operator="containsText" text="s">
      <formula>NOT(ISERROR(SEARCH(("s"),(E5))))</formula>
    </cfRule>
    <cfRule type="cellIs" dxfId="11" priority="66" operator="equal">
      <formula>"i"</formula>
    </cfRule>
  </conditionalFormatting>
  <conditionalFormatting sqref="I49">
    <cfRule type="containsText" dxfId="10" priority="59" operator="containsText" text="s">
      <formula>NOT(ISERROR(SEARCH(("s"),(I49))))</formula>
    </cfRule>
    <cfRule type="cellIs" dxfId="9" priority="60" operator="equal">
      <formula>"i"</formula>
    </cfRule>
  </conditionalFormatting>
  <conditionalFormatting sqref="M3:AR4">
    <cfRule type="expression" dxfId="8" priority="129">
      <formula>LEFT(M$3, 3)&lt;&gt;"Tag"</formula>
    </cfRule>
  </conditionalFormatting>
  <conditionalFormatting sqref="U47:U48 AC47:AC48 AK47:AK48">
    <cfRule type="containsText" dxfId="7" priority="73" operator="containsText" text="s">
      <formula>NOT(ISERROR(SEARCH(("s"),(U47))))</formula>
    </cfRule>
    <cfRule type="cellIs" dxfId="6" priority="74" operator="equal">
      <formula>"i"</formula>
    </cfRule>
  </conditionalFormatting>
  <conditionalFormatting sqref="U9:AB9">
    <cfRule type="containsText" dxfId="5" priority="123" operator="containsText" text="s">
      <formula>NOT(ISERROR(SEARCH(("s"),(U9))))</formula>
    </cfRule>
    <cfRule type="cellIs" dxfId="4" priority="124" operator="equal">
      <formula>"i"</formula>
    </cfRule>
  </conditionalFormatting>
  <conditionalFormatting sqref="U5:AR8">
    <cfRule type="containsText" dxfId="3" priority="117" operator="containsText" text="s">
      <formula>NOT(ISERROR(SEARCH(("s"),(U5))))</formula>
    </cfRule>
    <cfRule type="cellIs" dxfId="2" priority="118" operator="equal">
      <formula>"i"</formula>
    </cfRule>
  </conditionalFormatting>
  <conditionalFormatting sqref="U10:AR46">
    <cfRule type="containsText" dxfId="1" priority="77" operator="containsText" text="s">
      <formula>NOT(ISERROR(SEARCH(("s"),(U10))))</formula>
    </cfRule>
    <cfRule type="cellIs" dxfId="0" priority="78" operator="equal">
      <formula>"i"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0308-10E2-7845-AAD5-CBAB08CBFF1A}">
  <dimension ref="A1:E3"/>
  <sheetViews>
    <sheetView workbookViewId="0">
      <selection activeCell="A5" sqref="A5"/>
    </sheetView>
  </sheetViews>
  <sheetFormatPr baseColWidth="10" defaultRowHeight="16" x14ac:dyDescent="0.2"/>
  <sheetData>
    <row r="1" spans="1:5" x14ac:dyDescent="0.2">
      <c r="A1" s="38" t="s">
        <v>40</v>
      </c>
      <c r="B1" s="41" t="s">
        <v>43</v>
      </c>
    </row>
    <row r="2" spans="1:5" x14ac:dyDescent="0.2">
      <c r="A2" s="38" t="s">
        <v>41</v>
      </c>
      <c r="B2" s="41" t="s">
        <v>44</v>
      </c>
      <c r="C2" s="41" t="s">
        <v>42</v>
      </c>
      <c r="D2" s="42">
        <v>46056</v>
      </c>
      <c r="E2" s="39"/>
    </row>
    <row r="3" spans="1:5" x14ac:dyDescent="0.2">
      <c r="C3" s="4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ef0ac6-58b2-4acb-91cf-d344f8864752}" enabled="1" method="Privileged" siteId="{e0793d39-0939-496d-b129-198edd916f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Timeplan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Anodunkhartsang, Tsering Lhamo</dc:creator>
  <cp:lastModifiedBy>Anodunkhartsang, Tsering Lhamo</cp:lastModifiedBy>
  <dcterms:created xsi:type="dcterms:W3CDTF">2026-02-17T08:37:00Z</dcterms:created>
  <dcterms:modified xsi:type="dcterms:W3CDTF">2026-03-03T16:48:37Z</dcterms:modified>
</cp:coreProperties>
</file>